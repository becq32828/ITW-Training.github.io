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Override PartName="/docMetadata/LabelInfo.xml" ContentType="application/vnd.ms-office.classificationlabel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Id="rId4" Type="http://schemas.microsoft.com/office/2020/02/relationships/classificationlabels" Target="docMetadata/LabelInfo.xml" /></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0" windowHeight="0" tabRatio="600" firstSheet="0" activeTab="0" autoFilterDateGrouping="1"/>
  </bookViews>
  <sheets>
    <sheet xmlns:r="http://schemas.openxmlformats.org/officeDocument/2006/relationships" name="README" sheetId="1" state="visible" r:id="rId1"/>
    <sheet xmlns:r="http://schemas.openxmlformats.org/officeDocument/2006/relationships" name="P&amp;L Summary" sheetId="2" state="visible" r:id="rId2"/>
    <sheet xmlns:r="http://schemas.openxmlformats.org/officeDocument/2006/relationships" name="Price Volume Mix" sheetId="3" state="visible" r:id="rId3"/>
    <sheet xmlns:r="http://schemas.openxmlformats.org/officeDocument/2006/relationships" name="Plant Operations" sheetId="4" state="visible" r:id="rId4"/>
    <sheet xmlns:r="http://schemas.openxmlformats.org/officeDocument/2006/relationships" name="Customer Margin" sheetId="5" state="visible" r:id="rId5"/>
    <sheet xmlns:r="http://schemas.openxmlformats.org/officeDocument/2006/relationships" name="Orders &amp; Backlog" sheetId="6" state="visible" r:id="rId6"/>
    <sheet xmlns:r="http://schemas.openxmlformats.org/officeDocument/2006/relationships" name="Talent &amp; Headcount" sheetId="7" state="visible" r:id="rId7"/>
    <sheet xmlns:r="http://schemas.openxmlformats.org/officeDocument/2006/relationships" name="Copilot ROI Model" sheetId="8" state="visible" r:id="rId8"/>
  </sheets>
  <definedNames/>
  <calcPr calcId="191028" fullCalcOnLoad="1"/>
</workbook>
</file>

<file path=xl/styles.xml><?xml version="1.0" encoding="utf-8"?>
<styleSheet xmlns="http://schemas.openxmlformats.org/spreadsheetml/2006/main">
  <numFmts count="6">
    <numFmt numFmtId="164" formatCode="&quot;$&quot;#,##0;\(&quot;$&quot;#,##0\);\-"/>
    <numFmt numFmtId="165" formatCode="0.0%"/>
    <numFmt numFmtId="166" formatCode="&quot;$&quot;#,##0"/>
    <numFmt numFmtId="167" formatCode="0.0"/>
    <numFmt numFmtId="168" formatCode="0.0\x"/>
    <numFmt numFmtId="169" formatCode="mmm\ yyyy"/>
  </numFmts>
  <fonts count="11">
    <font>
      <name val="Calibri"/>
      <family val="2"/>
      <color theme="1"/>
      <sz val="11"/>
      <scheme val="minor"/>
    </font>
    <font>
      <name val="Calibri"/>
      <color theme="1"/>
      <sz val="11"/>
    </font>
    <font>
      <name val="Calibri"/>
      <b val="1"/>
      <color theme="1"/>
      <sz val="11"/>
    </font>
    <font>
      <name val="Calibri"/>
      <b val="1"/>
      <color rgb="FFFFFFFF"/>
      <sz val="11"/>
    </font>
    <font>
      <name val="Calibri"/>
      <b val="1"/>
      <color rgb="FFFFFFFF"/>
      <sz val="14"/>
    </font>
    <font>
      <name val="Calibri"/>
      <b val="1"/>
      <color rgb="FF0F172A"/>
      <sz val="11"/>
    </font>
    <font>
      <name val="Calibri"/>
      <i val="1"/>
      <color theme="1"/>
      <sz val="11"/>
    </font>
    <font>
      <name val="Calibri"/>
      <color rgb="FF0000FF"/>
      <sz val="11"/>
    </font>
    <font>
      <name val="Calibri"/>
      <color rgb="FF008000"/>
      <sz val="11"/>
    </font>
    <font>
      <name val="Calibri"/>
      <b val="1"/>
      <color rgb="FFFFFFFF"/>
      <sz val="15"/>
    </font>
    <font>
      <name val="Calibri"/>
      <b val="1"/>
      <color rgb="FF9B1C1C"/>
      <sz val="11"/>
    </font>
  </fonts>
  <fills count="6">
    <fill>
      <patternFill/>
    </fill>
    <fill>
      <patternFill patternType="gray125"/>
    </fill>
    <fill>
      <patternFill patternType="solid">
        <fgColor rgb="FF1F2A5C"/>
        <bgColor indexed="64"/>
      </patternFill>
    </fill>
    <fill>
      <patternFill patternType="solid">
        <fgColor rgb="FFEEF1F8"/>
        <bgColor indexed="64"/>
      </patternFill>
    </fill>
    <fill>
      <patternFill patternType="solid">
        <fgColor rgb="FF4FD1C5"/>
        <bgColor indexed="64"/>
      </patternFill>
    </fill>
    <fill>
      <patternFill patternType="solid">
        <fgColor rgb="FFFDE2E1"/>
        <bgColor indexed="64"/>
      </patternFill>
    </fill>
  </fills>
  <borders count="1">
    <border>
      <left/>
      <right/>
      <top/>
      <bottom/>
      <diagonal/>
    </border>
  </borders>
  <cellStyleXfs count="1">
    <xf numFmtId="0" fontId="0" fillId="0" borderId="0"/>
  </cellStyleXfs>
  <cellXfs count="62">
    <xf numFmtId="0" fontId="0" fillId="0" borderId="0" pivotButton="0" quotePrefix="0" xfId="0"/>
    <xf numFmtId="0" fontId="1" fillId="0" borderId="0" pivotButton="0" quotePrefix="0" xfId="0"/>
    <xf numFmtId="0" fontId="4" fillId="2" borderId="0" applyAlignment="1" pivotButton="0" quotePrefix="0" xfId="0">
      <alignment vertical="center"/>
    </xf>
    <xf numFmtId="0" fontId="3" fillId="2" borderId="0" applyAlignment="1" pivotButton="0" quotePrefix="0" xfId="0">
      <alignment horizontal="center" wrapText="1"/>
    </xf>
    <xf numFmtId="0" fontId="1" fillId="3" borderId="0" pivotButton="0" quotePrefix="0" xfId="0"/>
    <xf numFmtId="0" fontId="5" fillId="4" borderId="0" pivotButton="0" quotePrefix="0" xfId="0"/>
    <xf numFmtId="164" fontId="1" fillId="0" borderId="0" applyAlignment="1" pivotButton="0" quotePrefix="0" xfId="0">
      <alignment horizontal="right"/>
    </xf>
    <xf numFmtId="164" fontId="1" fillId="3" borderId="0" applyAlignment="1" pivotButton="0" quotePrefix="0" xfId="0">
      <alignment horizontal="right"/>
    </xf>
    <xf numFmtId="164" fontId="5" fillId="4" borderId="0" applyAlignment="1" pivotButton="0" quotePrefix="0" xfId="0">
      <alignment horizontal="right"/>
    </xf>
    <xf numFmtId="165" fontId="1" fillId="0" borderId="0" applyAlignment="1" pivotButton="0" quotePrefix="0" xfId="0">
      <alignment horizontal="right"/>
    </xf>
    <xf numFmtId="165" fontId="1" fillId="3" borderId="0" applyAlignment="1" pivotButton="0" quotePrefix="0" xfId="0">
      <alignment horizontal="right"/>
    </xf>
    <xf numFmtId="165" fontId="5" fillId="4" borderId="0" applyAlignment="1" pivotButton="0" quotePrefix="0" xfId="0">
      <alignment horizontal="right"/>
    </xf>
    <xf numFmtId="0" fontId="1" fillId="0" borderId="0" applyAlignment="1" pivotButton="0" quotePrefix="0" xfId="0">
      <alignment horizontal="left"/>
    </xf>
    <xf numFmtId="0" fontId="1" fillId="3" borderId="0" applyAlignment="1" pivotButton="0" quotePrefix="0" xfId="0">
      <alignment horizontal="left"/>
    </xf>
    <xf numFmtId="0" fontId="5" fillId="4" borderId="0" applyAlignment="1" pivotButton="0" quotePrefix="0" xfId="0">
      <alignment horizontal="left"/>
    </xf>
    <xf numFmtId="0" fontId="6" fillId="0" borderId="0" pivotButton="0" quotePrefix="0" xfId="0"/>
    <xf numFmtId="164" fontId="6" fillId="0" borderId="0" pivotButton="0" quotePrefix="0" xfId="0"/>
    <xf numFmtId="14" fontId="1" fillId="0" borderId="0" applyAlignment="1" pivotButton="0" quotePrefix="0" xfId="0">
      <alignment horizontal="left"/>
    </xf>
    <xf numFmtId="14" fontId="1" fillId="3" borderId="0" applyAlignment="1" pivotButton="0" quotePrefix="0" xfId="0">
      <alignment horizontal="left"/>
    </xf>
    <xf numFmtId="2" fontId="1" fillId="0" borderId="0" applyAlignment="1" pivotButton="0" quotePrefix="0" xfId="0">
      <alignment horizontal="right"/>
    </xf>
    <xf numFmtId="2" fontId="1" fillId="3" borderId="0" applyAlignment="1" pivotButton="0" quotePrefix="0" xfId="0">
      <alignment horizontal="right"/>
    </xf>
    <xf numFmtId="2" fontId="5" fillId="4" borderId="0" applyAlignment="1" pivotButton="0" quotePrefix="0" xfId="0">
      <alignment horizontal="right"/>
    </xf>
    <xf numFmtId="166" fontId="7" fillId="0" borderId="0" applyAlignment="1" pivotButton="0" quotePrefix="0" xfId="0">
      <alignment horizontal="right"/>
    </xf>
    <xf numFmtId="164" fontId="6" fillId="0" borderId="0" applyAlignment="1" pivotButton="0" quotePrefix="0" xfId="0">
      <alignment horizontal="right"/>
    </xf>
    <xf numFmtId="3" fontId="1" fillId="0" borderId="0" applyAlignment="1" pivotButton="0" quotePrefix="0" xfId="0">
      <alignment horizontal="right"/>
    </xf>
    <xf numFmtId="3" fontId="1" fillId="3" borderId="0" applyAlignment="1" pivotButton="0" quotePrefix="0" xfId="0">
      <alignment horizontal="right"/>
    </xf>
    <xf numFmtId="3" fontId="5" fillId="4" borderId="0" applyAlignment="1" pivotButton="0" quotePrefix="0" xfId="0">
      <alignment horizontal="right"/>
    </xf>
    <xf numFmtId="167" fontId="1" fillId="0" borderId="0" applyAlignment="1" pivotButton="0" quotePrefix="0" xfId="0">
      <alignment horizontal="right"/>
    </xf>
    <xf numFmtId="167" fontId="1" fillId="3" borderId="0" applyAlignment="1" pivotButton="0" quotePrefix="0" xfId="0">
      <alignment horizontal="right"/>
    </xf>
    <xf numFmtId="167" fontId="5" fillId="4" borderId="0" applyAlignment="1" pivotButton="0" quotePrefix="0" xfId="0">
      <alignment horizontal="right"/>
    </xf>
    <xf numFmtId="1" fontId="1" fillId="0" borderId="0" applyAlignment="1" pivotButton="0" quotePrefix="0" xfId="0">
      <alignment horizontal="right"/>
    </xf>
    <xf numFmtId="1" fontId="1" fillId="3" borderId="0" applyAlignment="1" pivotButton="0" quotePrefix="0" xfId="0">
      <alignment horizontal="right"/>
    </xf>
    <xf numFmtId="1" fontId="5" fillId="4" borderId="0" applyAlignment="1" pivotButton="0" quotePrefix="0" xfId="0">
      <alignment horizontal="right"/>
    </xf>
    <xf numFmtId="0" fontId="3" fillId="2" borderId="0" applyAlignment="1" pivotButton="0" quotePrefix="0" xfId="0">
      <alignment horizontal="left"/>
    </xf>
    <xf numFmtId="0" fontId="3" fillId="2" borderId="0" applyAlignment="1" pivotButton="0" quotePrefix="0" xfId="0">
      <alignment horizontal="left" wrapText="1"/>
    </xf>
    <xf numFmtId="3" fontId="7" fillId="0" borderId="0" applyAlignment="1" pivotButton="0" quotePrefix="0" xfId="0">
      <alignment horizontal="right"/>
    </xf>
    <xf numFmtId="3" fontId="8" fillId="3" borderId="0" applyAlignment="1" pivotButton="0" quotePrefix="0" xfId="0">
      <alignment horizontal="right"/>
    </xf>
    <xf numFmtId="167" fontId="7" fillId="0" borderId="0" applyAlignment="1" pivotButton="0" quotePrefix="0" xfId="0">
      <alignment horizontal="right"/>
    </xf>
    <xf numFmtId="167" fontId="7" fillId="3" borderId="0" applyAlignment="1" pivotButton="0" quotePrefix="0" xfId="0">
      <alignment horizontal="right"/>
    </xf>
    <xf numFmtId="166" fontId="7" fillId="3" borderId="0" applyAlignment="1" pivotButton="0" quotePrefix="0" xfId="0">
      <alignment horizontal="right"/>
    </xf>
    <xf numFmtId="9" fontId="7" fillId="3" borderId="0" applyAlignment="1" pivotButton="0" quotePrefix="0" xfId="0">
      <alignment horizontal="right"/>
    </xf>
    <xf numFmtId="168" fontId="1" fillId="3" borderId="0" applyAlignment="1" pivotButton="0" quotePrefix="0" xfId="0">
      <alignment horizontal="right"/>
    </xf>
    <xf numFmtId="166" fontId="1" fillId="3" borderId="0" applyAlignment="1" pivotButton="0" quotePrefix="0" xfId="0">
      <alignment horizontal="right"/>
    </xf>
    <xf numFmtId="9" fontId="1" fillId="0" borderId="0" applyAlignment="1" pivotButton="0" quotePrefix="0" xfId="0">
      <alignment horizontal="right"/>
    </xf>
    <xf numFmtId="9" fontId="1" fillId="3" borderId="0" applyAlignment="1" pivotButton="0" quotePrefix="0" xfId="0">
      <alignment horizontal="right"/>
    </xf>
    <xf numFmtId="0" fontId="1" fillId="0" borderId="0" applyAlignment="1" pivotButton="0" quotePrefix="0" xfId="0">
      <alignment vertical="top"/>
    </xf>
    <xf numFmtId="0" fontId="9" fillId="2" borderId="0" applyAlignment="1" pivotButton="0" quotePrefix="0" xfId="0">
      <alignment vertical="center"/>
    </xf>
    <xf numFmtId="0" fontId="10" fillId="5" borderId="0" applyAlignment="1" pivotButton="0" quotePrefix="0" xfId="0">
      <alignment vertical="center" wrapText="1"/>
    </xf>
    <xf numFmtId="0" fontId="1" fillId="0" borderId="0" applyAlignment="1" pivotButton="0" quotePrefix="0" xfId="0">
      <alignment vertical="center" wrapText="1"/>
    </xf>
    <xf numFmtId="0" fontId="3" fillId="2" borderId="0" applyAlignment="1" pivotButton="0" quotePrefix="0" xfId="0">
      <alignment vertical="top"/>
    </xf>
    <xf numFmtId="0" fontId="3" fillId="2" borderId="0" applyAlignment="1" pivotButton="0" quotePrefix="0" xfId="0">
      <alignment horizontal="left" vertical="top"/>
    </xf>
    <xf numFmtId="0" fontId="1" fillId="0" borderId="0" applyAlignment="1" pivotButton="0" quotePrefix="0" xfId="0">
      <alignment vertical="top" wrapText="1"/>
    </xf>
    <xf numFmtId="0" fontId="1" fillId="3"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xf numFmtId="0" fontId="2" fillId="3" borderId="0" applyAlignment="1" pivotButton="0" quotePrefix="0" xfId="0">
      <alignment vertical="top" wrapText="1"/>
    </xf>
    <xf numFmtId="49" fontId="5" fillId="4" borderId="0" applyAlignment="1" pivotButton="0" quotePrefix="0" xfId="0">
      <alignment horizontal="left"/>
    </xf>
    <xf numFmtId="169" fontId="1" fillId="0" borderId="0" applyAlignment="1" pivotButton="0" quotePrefix="0" xfId="0">
      <alignment horizontal="left"/>
    </xf>
    <xf numFmtId="169" fontId="1" fillId="3" borderId="0" applyAlignment="1" pivotButton="0" quotePrefix="0" xfId="0">
      <alignment horizontal="left"/>
    </xf>
    <xf numFmtId="164" fontId="6" fillId="0" borderId="0" pivotButton="0" quotePrefix="0" xfId="0"/>
    <xf numFmtId="0" fontId="6" fillId="0" borderId="0" pivotButton="0" quotePrefix="0" xfId="0"/>
    <xf numFmtId="0" fontId="1" fillId="0" borderId="0" pivotButton="0" quotePrefix="0" xfId="0"/>
  </cellXfs>
  <cellStyles count="1">
    <cellStyle name="Normal" xfId="0" builtinId="0"/>
  </cellStyles>
  <dxfs count="6">
    <dxf>
      <font>
        <b val="1"/>
        <color rgb="FF9B1C1C"/>
      </font>
      <fill>
        <patternFill patternType="solid">
          <fgColor indexed="64"/>
          <bgColor rgb="FFFDE2E1"/>
        </patternFill>
      </fill>
    </dxf>
    <dxf>
      <font>
        <color rgb="FF9B1C1C"/>
      </font>
      <fill>
        <patternFill patternType="solid">
          <fgColor indexed="64"/>
          <bgColor rgb="FFFDE2E1"/>
        </patternFill>
      </fill>
    </dxf>
    <dxf>
      <font>
        <b val="1"/>
        <color rgb="FF9B1C1C"/>
      </font>
      <fill>
        <patternFill patternType="solid">
          <fgColor indexed="64"/>
          <bgColor rgb="FFFDE2E1"/>
        </patternFill>
      </fill>
    </dxf>
    <dxf>
      <font>
        <b val="1"/>
        <color rgb="FF9B1C1C"/>
      </font>
      <fill>
        <patternFill patternType="solid">
          <fgColor indexed="64"/>
          <bgColor rgb="FFFDE2E1"/>
        </patternFill>
      </fill>
    </dxf>
    <dxf>
      <font>
        <b val="1"/>
        <color rgb="FF9B1C1C"/>
      </font>
      <fill>
        <patternFill patternType="solid">
          <fgColor indexed="64"/>
          <bgColor rgb="FFFDE2E1"/>
        </patternFill>
      </fill>
    </dxf>
    <dxf>
      <font>
        <b val="1"/>
        <color rgb="FF9B1C1C"/>
      </font>
      <fill>
        <patternFill patternType="solid">
          <fgColor indexed="64"/>
          <bgColor rgb="FFFDE2E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Adhesives and Lubricants drive the entire revenue miss to plan</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cat>
            <strRef>
              <f>'P&amp;L Summary'!$A$3:$A$8</f>
              <strCache>
                <ptCount val="6"/>
                <pt idx="0">
                  <v>Industrial Adhesives</v>
                </pt>
                <pt idx="1">
                  <v>Engineered Sealants</v>
                </pt>
                <pt idx="2">
                  <v>Lubricants &amp; MRO</v>
                </pt>
                <pt idx="3">
                  <v>Performance Coatings</v>
                </pt>
                <pt idx="4">
                  <v>Specialty Fluids</v>
                </pt>
                <pt idx="5">
                  <v>Aerospace Compounds</v>
                </pt>
              </strCache>
            </strRef>
          </cat>
          <val>
            <numRef>
              <f>'P&amp;L Summary'!$B$3:$B$8</f>
              <numCache>
                <formatCode>"$"#,##0;\("$"#,##0\);\-</formatCode>
                <ptCount val="6"/>
                <pt idx="0">
                  <v>24850</v>
                </pt>
                <pt idx="1">
                  <v>18420</v>
                </pt>
                <pt idx="2">
                  <v>15260</v>
                </pt>
                <pt idx="3">
                  <v>12940</v>
                </pt>
                <pt idx="4">
                  <v>9780</v>
                </pt>
                <pt idx="5">
                  <v>7310</v>
                </pt>
              </numCache>
            </numRef>
          </val>
        </ser>
        <ser>
          <idx val="1"/>
          <order val="1"/>
          <spPr>
            <a:solidFill xmlns:a="http://schemas.openxmlformats.org/drawingml/2006/main">
              <a:schemeClr val="accent2"/>
            </a:solidFill>
            <a:ln xmlns:a="http://schemas.openxmlformats.org/drawingml/2006/main">
              <a:noFill/>
              <a:prstDash val="solid"/>
            </a:ln>
          </spPr>
          <invertIfNegative val="0"/>
          <cat>
            <strRef>
              <f>'P&amp;L Summary'!$A$3:$A$8</f>
              <strCache>
                <ptCount val="6"/>
                <pt idx="0">
                  <v>Industrial Adhesives</v>
                </pt>
                <pt idx="1">
                  <v>Engineered Sealants</v>
                </pt>
                <pt idx="2">
                  <v>Lubricants &amp; MRO</v>
                </pt>
                <pt idx="3">
                  <v>Performance Coatings</v>
                </pt>
                <pt idx="4">
                  <v>Specialty Fluids</v>
                </pt>
                <pt idx="5">
                  <v>Aerospace Compounds</v>
                </pt>
              </strCache>
            </strRef>
          </cat>
          <val>
            <numRef>
              <f>'P&amp;L Summary'!$C$3:$C$8</f>
              <numCache>
                <formatCode>"$"#,##0;\("$"#,##0\);\-</formatCode>
                <ptCount val="6"/>
                <pt idx="0">
                  <v>26200</v>
                </pt>
                <pt idx="1">
                  <v>17900</v>
                </pt>
                <pt idx="2">
                  <v>16800</v>
                </pt>
                <pt idx="3">
                  <v>12100</v>
                </pt>
                <pt idx="4">
                  <v>10400</v>
                </pt>
                <pt idx="5">
                  <v>6500</v>
                </pt>
              </numCache>
            </numRef>
          </val>
        </ser>
        <dLbls>
          <showLegendKey val="0"/>
          <showVal val="0"/>
          <showCatName val="0"/>
          <showSerName val="0"/>
          <showPercent val="0"/>
          <showBubbleSize val="0"/>
        </dLbls>
        <gapWidth val="219"/>
        <overlap val="-27"/>
        <axId val="17736199"/>
        <axId val="17738247"/>
      </barChart>
      <catAx>
        <axId val="1773619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738247"/>
        <crosses val="autoZero"/>
        <auto val="1"/>
        <lblAlgn val="ctr"/>
        <lblOffset val="100"/>
        <noMultiLvlLbl val="0"/>
      </catAx>
      <valAx>
        <axId val="1773824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quot;$&quot;#,##0;\(&quot;$&quot;#,##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73619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Price carried the division; volume went backwards in three of six lines</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cat>
            <strRef>
              <f>'Price Volume Mix'!$A$3:$A$8</f>
              <strCache>
                <ptCount val="6"/>
                <pt idx="0">
                  <v>Industrial Adhesives</v>
                </pt>
                <pt idx="1">
                  <v>Engineered Sealants</v>
                </pt>
                <pt idx="2">
                  <v>Lubricants &amp; MRO</v>
                </pt>
                <pt idx="3">
                  <v>Performance Coatings</v>
                </pt>
                <pt idx="4">
                  <v>Specialty Fluids</v>
                </pt>
                <pt idx="5">
                  <v>Aerospace Compounds</v>
                </pt>
              </strCache>
            </strRef>
          </cat>
          <val>
            <numRef>
              <f>'Price Volume Mix'!$B$3:$B$8</f>
              <numCache>
                <formatCode>"$"#,##0;\("$"#,##0\);\-</formatCode>
                <ptCount val="6"/>
                <pt idx="0">
                  <v>23900</v>
                </pt>
                <pt idx="1">
                  <v>16850</v>
                </pt>
                <pt idx="2">
                  <v>16100</v>
                </pt>
                <pt idx="3">
                  <v>11400</v>
                </pt>
                <pt idx="4">
                  <v>10050</v>
                </pt>
                <pt idx="5">
                  <v>5980</v>
                </pt>
              </numCache>
            </numRef>
          </val>
        </ser>
        <ser>
          <idx val="1"/>
          <order val="1"/>
          <spPr>
            <a:solidFill xmlns:a="http://schemas.openxmlformats.org/drawingml/2006/main">
              <a:schemeClr val="accent2"/>
            </a:solidFill>
            <a:ln xmlns:a="http://schemas.openxmlformats.org/drawingml/2006/main">
              <a:noFill/>
              <a:prstDash val="solid"/>
            </a:ln>
          </spPr>
          <invertIfNegative val="0"/>
          <cat>
            <strRef>
              <f>'Price Volume Mix'!$A$3:$A$8</f>
              <strCache>
                <ptCount val="6"/>
                <pt idx="0">
                  <v>Industrial Adhesives</v>
                </pt>
                <pt idx="1">
                  <v>Engineered Sealants</v>
                </pt>
                <pt idx="2">
                  <v>Lubricants &amp; MRO</v>
                </pt>
                <pt idx="3">
                  <v>Performance Coatings</v>
                </pt>
                <pt idx="4">
                  <v>Specialty Fluids</v>
                </pt>
                <pt idx="5">
                  <v>Aerospace Compounds</v>
                </pt>
              </strCache>
            </strRef>
          </cat>
          <val>
            <numRef>
              <f>'Price Volume Mix'!$C$3:$C$8</f>
              <numCache>
                <formatCode>"$"#,##0;\("$"#,##0\);\-</formatCode>
                <ptCount val="6"/>
                <pt idx="0">
                  <v>1780</v>
                </pt>
                <pt idx="1">
                  <v>940</v>
                </pt>
                <pt idx="2">
                  <v>410</v>
                </pt>
                <pt idx="3">
                  <v>720</v>
                </pt>
                <pt idx="4">
                  <v>260</v>
                </pt>
                <pt idx="5">
                  <v>380</v>
                </pt>
              </numCache>
            </numRef>
          </val>
        </ser>
        <ser>
          <idx val="2"/>
          <order val="2"/>
          <spPr>
            <a:solidFill xmlns:a="http://schemas.openxmlformats.org/drawingml/2006/main">
              <a:schemeClr val="accent3"/>
            </a:solidFill>
            <a:ln xmlns:a="http://schemas.openxmlformats.org/drawingml/2006/main">
              <a:noFill/>
              <a:prstDash val="solid"/>
            </a:ln>
          </spPr>
          <invertIfNegative val="0"/>
          <cat>
            <strRef>
              <f>'Price Volume Mix'!$A$3:$A$8</f>
              <strCache>
                <ptCount val="6"/>
                <pt idx="0">
                  <v>Industrial Adhesives</v>
                </pt>
                <pt idx="1">
                  <v>Engineered Sealants</v>
                </pt>
                <pt idx="2">
                  <v>Lubricants &amp; MRO</v>
                </pt>
                <pt idx="3">
                  <v>Performance Coatings</v>
                </pt>
                <pt idx="4">
                  <v>Specialty Fluids</v>
                </pt>
                <pt idx="5">
                  <v>Aerospace Compounds</v>
                </pt>
              </strCache>
            </strRef>
          </cat>
          <val>
            <numRef>
              <f>'Price Volume Mix'!$D$3:$D$8</f>
              <numCache>
                <formatCode>"$"#,##0;\("$"#,##0\);\-</formatCode>
                <ptCount val="6"/>
                <pt idx="0">
                  <v>-1090</v>
                </pt>
                <pt idx="1">
                  <v>520</v>
                </pt>
                <pt idx="2">
                  <v>-1320</v>
                </pt>
                <pt idx="3">
                  <v>690</v>
                </pt>
                <pt idx="4">
                  <v>-620</v>
                </pt>
                <pt idx="5">
                  <v>860</v>
                </pt>
              </numCache>
            </numRef>
          </val>
        </ser>
        <ser>
          <idx val="3"/>
          <order val="3"/>
          <spPr>
            <a:solidFill xmlns:a="http://schemas.openxmlformats.org/drawingml/2006/main">
              <a:schemeClr val="accent4"/>
            </a:solidFill>
            <a:ln xmlns:a="http://schemas.openxmlformats.org/drawingml/2006/main">
              <a:noFill/>
              <a:prstDash val="solid"/>
            </a:ln>
          </spPr>
          <invertIfNegative val="0"/>
          <cat>
            <strRef>
              <f>'Price Volume Mix'!$A$3:$A$8</f>
              <strCache>
                <ptCount val="6"/>
                <pt idx="0">
                  <v>Industrial Adhesives</v>
                </pt>
                <pt idx="1">
                  <v>Engineered Sealants</v>
                </pt>
                <pt idx="2">
                  <v>Lubricants &amp; MRO</v>
                </pt>
                <pt idx="3">
                  <v>Performance Coatings</v>
                </pt>
                <pt idx="4">
                  <v>Specialty Fluids</v>
                </pt>
                <pt idx="5">
                  <v>Aerospace Compounds</v>
                </pt>
              </strCache>
            </strRef>
          </cat>
          <val>
            <numRef>
              <f>'Price Volume Mix'!$E$3:$E$8</f>
              <numCache>
                <formatCode>"$"#,##0;\("$"#,##0\);\-</formatCode>
                <ptCount val="6"/>
                <pt idx="0">
                  <v>190</v>
                </pt>
                <pt idx="1">
                  <v>65</v>
                </pt>
                <pt idx="2">
                  <v>40</v>
                </pt>
                <pt idx="3">
                  <v>105</v>
                </pt>
                <pt idx="4">
                  <v>75</v>
                </pt>
                <pt idx="5">
                  <v>80</v>
                </pt>
              </numCache>
            </numRef>
          </val>
        </ser>
        <dLbls>
          <showLegendKey val="0"/>
          <showVal val="0"/>
          <showCatName val="0"/>
          <showSerName val="0"/>
          <showPercent val="0"/>
          <showBubbleSize val="0"/>
        </dLbls>
        <gapWidth val="219"/>
        <overlap val="-27"/>
        <axId val="17818119"/>
        <axId val="17820167"/>
      </barChart>
      <catAx>
        <axId val="1781811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820167"/>
        <crosses val="autoZero"/>
        <auto val="1"/>
        <lblAlgn val="ctr"/>
        <lblOffset val="100"/>
        <noMultiLvlLbl val="0"/>
      </catAx>
      <valAx>
        <axId val="1782016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quot;$&quot;#,##0;\(&quot;$&quot;#,##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81811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Rockford and Suzhou sit below the 75% OEE threshold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barChart>
        <barDir val="bar"/>
        <grouping val="clustered"/>
        <varyColors val="0"/>
        <ser>
          <idx val="0"/>
          <order val="0"/>
          <spPr>
            <a:solidFill xmlns:a="http://schemas.openxmlformats.org/drawingml/2006/main">
              <a:schemeClr val="accent1"/>
            </a:solidFill>
            <a:ln xmlns:a="http://schemas.openxmlformats.org/drawingml/2006/main">
              <a:noFill/>
              <a:prstDash val="solid"/>
            </a:ln>
          </spPr>
          <invertIfNegative val="0"/>
          <cat>
            <multiLvlStrRef>
              <multiLvlStrCache>
                <lvl>
                  <pt idx="0">
                    <v>Elgin, IL</v>
                  </pt>
                  <pt idx="1">
                    <v>Rockford, IL</v>
                  </pt>
                  <pt idx="2">
                    <v>Greenville, SC</v>
                  </pt>
                  <pt idx="3">
                    <v>Monterrey, MX</v>
                  </pt>
                  <pt idx="4">
                    <v>Gdansk, PL</v>
                  </pt>
                  <pt idx="5">
                    <v>Suzhou, CN</v>
                  </pt>
                </lvl>
                <lvl>
                  <pt idx="0">
                    <v>Elgin Works</v>
                  </pt>
                  <pt idx="1">
                    <v>Rockford Compounding</v>
                  </pt>
                  <pt idx="2">
                    <v>Greenville Coatings</v>
                  </pt>
                  <pt idx="3">
                    <v>Monterrey Adhesives</v>
                  </pt>
                  <pt idx="4">
                    <v>Gdansk Sealants</v>
                  </pt>
                  <pt idx="5">
                    <v>Suzhou Fluids</v>
                  </pt>
                </lvl>
              </multiLvlStrCache>
              <f>'Plant Operations'!$A$3:$B$8</f>
            </multiLvlStrRef>
          </cat>
          <val>
            <numRef>
              <f>'Plant Operations'!$C$3:$C$8</f>
              <numCache>
                <formatCode>0.0%</formatCode>
                <ptCount val="6"/>
                <pt idx="0">
                  <v>0.782</v>
                </pt>
                <pt idx="1">
                  <v>0.714</v>
                </pt>
                <pt idx="2">
                  <v>0.836</v>
                </pt>
                <pt idx="3">
                  <v>0.759</v>
                </pt>
                <pt idx="4">
                  <v>0.801</v>
                </pt>
                <pt idx="5">
                  <v>0.723</v>
                </pt>
              </numCache>
            </numRef>
          </val>
        </ser>
        <dLbls>
          <showLegendKey val="0"/>
          <showVal val="0"/>
          <showCatName val="0"/>
          <showSerName val="0"/>
          <showPercent val="0"/>
          <showBubbleSize val="0"/>
        </dLbls>
        <gapWidth val="182"/>
        <axId val="17356807"/>
        <axId val="17449479"/>
      </barChart>
      <catAx>
        <axId val="17356807"/>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49479"/>
        <crosses val="autoZero"/>
        <auto val="1"/>
        <lblAlgn val="ctr"/>
        <lblOffset val="100"/>
        <noMultiLvlLbl val="0"/>
      </catAx>
      <valAx>
        <axId val="17449479"/>
        <scaling>
          <orientation val="minMax"/>
        </scaling>
        <delete val="0"/>
        <axPos val="b"/>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356807"/>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Backlog has eroded since Jun-26 as book-to-bill fell below 1.0</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lineChart>
        <grouping val="standard"/>
        <varyColors val="0"/>
        <ser>
          <idx val="0"/>
          <order val="0"/>
          <spPr>
            <a:ln xmlns:a="http://schemas.openxmlformats.org/drawingml/2006/main" w="28575" cap="rnd">
              <a:solidFill>
                <a:schemeClr val="accent1"/>
              </a:solidFill>
              <a:prstDash val="solid"/>
              <a:round/>
            </a:ln>
          </spPr>
          <marker>
            <symbol val="none"/>
            <spPr>
              <a:ln xmlns:a="http://schemas.openxmlformats.org/drawingml/2006/main">
                <a:prstDash val="solid"/>
              </a:ln>
            </spPr>
          </marker>
          <cat>
            <numRef>
              <f>'Orders &amp; Backlog'!$A$3:$A$14</f>
              <numCache>
                <formatCode>mmm\ yyyy</formatCode>
                <ptCount val="12"/>
                <pt idx="0">
                  <v>45931</v>
                </pt>
                <pt idx="1">
                  <v>45962</v>
                </pt>
                <pt idx="2">
                  <v>45992</v>
                </pt>
                <pt idx="3">
                  <v>46023</v>
                </pt>
                <pt idx="4">
                  <v>46054</v>
                </pt>
                <pt idx="5">
                  <v>46082</v>
                </pt>
                <pt idx="6">
                  <v>46113</v>
                </pt>
                <pt idx="7">
                  <v>46143</v>
                </pt>
                <pt idx="8">
                  <v>46174</v>
                </pt>
                <pt idx="9">
                  <v>46204</v>
                </pt>
                <pt idx="10">
                  <v>46235</v>
                </pt>
                <pt idx="11">
                  <v>46266</v>
                </pt>
              </numCache>
            </numRef>
          </cat>
          <val>
            <numRef>
              <f>'Orders &amp; Backlog'!$B$3:$B$14</f>
              <numCache>
                <formatCode>"$"#,##0;\("$"#,##0\);\-</formatCode>
                <ptCount val="12"/>
                <pt idx="0">
                  <v>29100</v>
                </pt>
                <pt idx="1">
                  <v>27800</v>
                </pt>
                <pt idx="2">
                  <v>31600</v>
                </pt>
                <pt idx="3">
                  <v>26900</v>
                </pt>
                <pt idx="4">
                  <v>28400</v>
                </pt>
                <pt idx="5">
                  <v>32100</v>
                </pt>
                <pt idx="6">
                  <v>30200</v>
                </pt>
                <pt idx="7">
                  <v>29800</v>
                </pt>
                <pt idx="8">
                  <v>33400</v>
                </pt>
                <pt idx="9">
                  <v>28600</v>
                </pt>
                <pt idx="10">
                  <v>30900</v>
                </pt>
                <pt idx="11">
                  <v>27400</v>
                </pt>
              </numCache>
            </numRef>
          </val>
          <smooth val="0"/>
        </ser>
        <ser>
          <idx val="1"/>
          <order val="1"/>
          <spPr>
            <a:ln xmlns:a="http://schemas.openxmlformats.org/drawingml/2006/main" w="28575" cap="rnd">
              <a:solidFill>
                <a:schemeClr val="accent2"/>
              </a:solidFill>
              <a:prstDash val="solid"/>
              <a:round/>
            </a:ln>
          </spPr>
          <marker>
            <symbol val="none"/>
            <spPr>
              <a:ln xmlns:a="http://schemas.openxmlformats.org/drawingml/2006/main">
                <a:prstDash val="solid"/>
              </a:ln>
            </spPr>
          </marker>
          <cat>
            <numRef>
              <f>'Orders &amp; Backlog'!$A$3:$A$14</f>
              <numCache>
                <formatCode>mmm\ yyyy</formatCode>
                <ptCount val="12"/>
                <pt idx="0">
                  <v>45931</v>
                </pt>
                <pt idx="1">
                  <v>45962</v>
                </pt>
                <pt idx="2">
                  <v>45992</v>
                </pt>
                <pt idx="3">
                  <v>46023</v>
                </pt>
                <pt idx="4">
                  <v>46054</v>
                </pt>
                <pt idx="5">
                  <v>46082</v>
                </pt>
                <pt idx="6">
                  <v>46113</v>
                </pt>
                <pt idx="7">
                  <v>46143</v>
                </pt>
                <pt idx="8">
                  <v>46174</v>
                </pt>
                <pt idx="9">
                  <v>46204</v>
                </pt>
                <pt idx="10">
                  <v>46235</v>
                </pt>
                <pt idx="11">
                  <v>46266</v>
                </pt>
              </numCache>
            </numRef>
          </cat>
          <val>
            <numRef>
              <f>'Orders &amp; Backlog'!$C$3:$C$14</f>
              <numCache>
                <formatCode>"$"#,##0;\("$"#,##0\);\-</formatCode>
                <ptCount val="12"/>
                <pt idx="0">
                  <v>28400</v>
                </pt>
                <pt idx="1">
                  <v>28900</v>
                </pt>
                <pt idx="2">
                  <v>30200</v>
                </pt>
                <pt idx="3">
                  <v>27800</v>
                </pt>
                <pt idx="4">
                  <v>27600</v>
                </pt>
                <pt idx="5">
                  <v>30900</v>
                </pt>
                <pt idx="6">
                  <v>29400</v>
                </pt>
                <pt idx="7">
                  <v>30600</v>
                </pt>
                <pt idx="8">
                  <v>31100</v>
                </pt>
                <pt idx="9">
                  <v>29900</v>
                </pt>
                <pt idx="10">
                  <v>29200</v>
                </pt>
                <pt idx="11">
                  <v>29400</v>
                </pt>
              </numCache>
            </numRef>
          </val>
          <smooth val="0"/>
        </ser>
        <ser>
          <idx val="2"/>
          <order val="2"/>
          <spPr>
            <a:ln xmlns:a="http://schemas.openxmlformats.org/drawingml/2006/main" w="28575" cap="rnd">
              <a:solidFill>
                <a:schemeClr val="accent3"/>
              </a:solidFill>
              <a:prstDash val="solid"/>
              <a:round/>
            </a:ln>
          </spPr>
          <marker>
            <symbol val="none"/>
            <spPr>
              <a:ln xmlns:a="http://schemas.openxmlformats.org/drawingml/2006/main">
                <a:prstDash val="solid"/>
              </a:ln>
            </spPr>
          </marker>
          <cat>
            <numRef>
              <f>'Orders &amp; Backlog'!$A$3:$A$14</f>
              <numCache>
                <formatCode>mmm\ yyyy</formatCode>
                <ptCount val="12"/>
                <pt idx="0">
                  <v>45931</v>
                </pt>
                <pt idx="1">
                  <v>45962</v>
                </pt>
                <pt idx="2">
                  <v>45992</v>
                </pt>
                <pt idx="3">
                  <v>46023</v>
                </pt>
                <pt idx="4">
                  <v>46054</v>
                </pt>
                <pt idx="5">
                  <v>46082</v>
                </pt>
                <pt idx="6">
                  <v>46113</v>
                </pt>
                <pt idx="7">
                  <v>46143</v>
                </pt>
                <pt idx="8">
                  <v>46174</v>
                </pt>
                <pt idx="9">
                  <v>46204</v>
                </pt>
                <pt idx="10">
                  <v>46235</v>
                </pt>
                <pt idx="11">
                  <v>46266</v>
                </pt>
              </numCache>
            </numRef>
          </cat>
          <val>
            <numRef>
              <f>'Orders &amp; Backlog'!$D$3:$D$14</f>
              <numCache>
                <formatCode>"$"#,##0;\("$"#,##0\);\-</formatCode>
                <ptCount val="12"/>
                <pt idx="0">
                  <v>31900</v>
                </pt>
                <pt idx="1">
                  <v>30800</v>
                </pt>
                <pt idx="2">
                  <v>32200</v>
                </pt>
                <pt idx="3">
                  <v>31300</v>
                </pt>
                <pt idx="4">
                  <v>32100</v>
                </pt>
                <pt idx="5">
                  <v>33300</v>
                </pt>
                <pt idx="6">
                  <v>34100</v>
                </pt>
                <pt idx="7">
                  <v>33300</v>
                </pt>
                <pt idx="8">
                  <v>35600</v>
                </pt>
                <pt idx="9">
                  <v>34300</v>
                </pt>
                <pt idx="10">
                  <v>36000</v>
                </pt>
                <pt idx="11">
                  <v>34000</v>
                </pt>
              </numCache>
            </numRef>
          </val>
          <smooth val="0"/>
        </ser>
        <dLbls>
          <showLegendKey val="0"/>
          <showVal val="0"/>
          <showCatName val="0"/>
          <showSerName val="0"/>
          <showPercent val="0"/>
          <showBubbleSize val="0"/>
        </dLbls>
        <smooth val="0"/>
        <axId val="21426183"/>
        <axId val="21428231"/>
      </lineChart>
      <dateAx>
        <axId val="21426183"/>
        <scaling>
          <orientation val="minMax"/>
        </scaling>
        <delete val="0"/>
        <axPos val="b"/>
        <numFmt formatCode="mmm\ yyyy" sourceLinked="1"/>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21428231"/>
        <crosses val="autoZero"/>
        <lblOffset val="100"/>
        <baseTimeUnit val="months"/>
      </dateAx>
      <valAx>
        <axId val="21428231"/>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quot;$&quot;#,##0;\(&quot;$&quot;#,##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21426183"/>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drawing1.xml><?xml version="1.0" encoding="utf-8"?>
<wsDr xmlns="http://schemas.openxmlformats.org/drawingml/2006/spreadsheetDrawing">
  <twoCellAnchor>
    <from>
      <col>0</col>
      <colOff>0</colOff>
      <row>10</row>
      <rowOff>0</rowOff>
    </from>
    <to>
      <col>8</col>
      <colOff>0</colOff>
      <row>27</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xml><?xml version="1.0" encoding="utf-8"?>
<wsDr xmlns="http://schemas.openxmlformats.org/drawingml/2006/spreadsheetDrawing">
  <twoCellAnchor>
    <from>
      <col>0</col>
      <colOff>0</colOff>
      <row>12</row>
      <rowOff>0</rowOff>
    </from>
    <to>
      <col>9</col>
      <colOff>0</colOff>
      <row>29</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xml><?xml version="1.0" encoding="utf-8"?>
<wsDr xmlns="http://schemas.openxmlformats.org/drawingml/2006/spreadsheetDrawing">
  <twoCellAnchor>
    <from>
      <col>0</col>
      <colOff>0</colOff>
      <row>10</row>
      <rowOff>0</rowOff>
    </from>
    <to>
      <col>9</col>
      <colOff>0</colOff>
      <row>26</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4.xml><?xml version="1.0" encoding="utf-8"?>
<wsDr xmlns="http://schemas.openxmlformats.org/drawingml/2006/spreadsheetDrawing">
  <twoCellAnchor>
    <from>
      <col>6</col>
      <colOff>0</colOff>
      <row>1</row>
      <rowOff>0</rowOff>
    </from>
    <to>
      <col>14</col>
      <colOff>0</colOff>
      <row>20</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6.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C25"/>
  <sheetViews>
    <sheetView workbookViewId="0">
      <pane ySplit="4" topLeftCell="A5" activePane="bottomLeft" state="frozen"/>
      <selection pane="bottomLeft" activeCell="A1" sqref="A1"/>
    </sheetView>
  </sheetViews>
  <sheetFormatPr baseColWidth="8" defaultRowHeight="15"/>
  <cols>
    <col width="26.7109375" customWidth="1" min="1" max="1"/>
    <col width="60.7109375" customWidth="1" min="2" max="2"/>
    <col width="52.7109375" customWidth="1" min="3" max="3"/>
  </cols>
  <sheetData>
    <row r="1" ht="30" customHeight="1">
      <c r="A1" s="46" t="inlineStr">
        <is>
          <t>ITW Polymers &amp; Fluids — Rain-X Wiper &amp; Glass Care Division · Q3 FY26 Leadership Data Pack</t>
        </is>
      </c>
    </row>
    <row r="2" ht="45.75" customHeight="1">
      <c r="A2" s="47" t="inlineStr">
        <is>
          <t>TRAINING SAMPLE. Every company, plant, customer, person and number in this workbook is fictional and was created for the Microsoft 365 Copilot leadership enablement session. It is not ITW data and must not be used for any business decision.</t>
        </is>
      </c>
    </row>
    <row r="3">
      <c r="A3" s="45" t="n"/>
      <c r="B3" s="45" t="n"/>
      <c r="C3" s="45" t="n"/>
    </row>
    <row r="4" ht="42" customHeight="1">
      <c r="A4" s="48" t="inlineStr">
        <is>
          <t>Purpose: this workbook is the data spine for the session. Leaders point Copilot, Analyst and the P&amp;F Leadership Briefing agent at these sheets and practise turning raw divisional data into a decision, a briefing and a follow-up.</t>
        </is>
      </c>
    </row>
    <row r="5">
      <c r="A5" s="45" t="n"/>
      <c r="B5" s="45" t="n"/>
      <c r="C5" s="45" t="n"/>
    </row>
    <row r="6">
      <c r="A6" s="50" t="inlineStr">
        <is>
          <t>Sheet</t>
        </is>
      </c>
      <c r="B6" s="50" t="inlineStr">
        <is>
          <t>What it holds</t>
        </is>
      </c>
      <c r="C6" s="50" t="inlineStr">
        <is>
          <t>Used in which part of the session</t>
        </is>
      </c>
    </row>
    <row r="7" ht="32.25" customHeight="1">
      <c r="A7" s="53" t="inlineStr">
        <is>
          <t>P&amp;L Summary</t>
        </is>
      </c>
      <c r="B7" s="53" t="inlineStr">
        <is>
          <t>Q3 revenue and gross margin by product line, actual vs plan vs prior year</t>
        </is>
      </c>
      <c r="C7" s="53" t="inlineStr">
        <is>
          <t>Module 1 briefing prep and Module 3 Excel / Analyst demo</t>
        </is>
      </c>
    </row>
    <row r="8" ht="32.25" customHeight="1">
      <c r="A8" s="52" t="inlineStr">
        <is>
          <t>Price Volume Mix</t>
        </is>
      </c>
      <c r="B8" s="52" t="inlineStr">
        <is>
          <t>Revenue bridge decomposing the year-on-year change into price, volume, mix and FX</t>
        </is>
      </c>
      <c r="C8" s="52" t="inlineStr">
        <is>
          <t>Module 3 trend analysis and Module 5 pricing decision scenario</t>
        </is>
      </c>
    </row>
    <row r="9" ht="32.25" customHeight="1">
      <c r="A9" s="53" t="inlineStr">
        <is>
          <t>Plant Operations</t>
        </is>
      </c>
      <c r="B9" s="53" t="inlineStr">
        <is>
          <t>OEE, scrap, on-time delivery, safety TRIR and output vs plan for six plants</t>
        </is>
      </c>
      <c r="C9" s="53" t="inlineStr">
        <is>
          <t>Module 5 operations scenario and the agent knowledge source</t>
        </is>
      </c>
    </row>
    <row r="10" ht="32.25" customHeight="1">
      <c r="A10" s="52" t="inlineStr">
        <is>
          <t>Customer Margin</t>
        </is>
      </c>
      <c r="B10" s="52" t="inlineStr">
        <is>
          <t>Top 12 customers with revenue, gross margin, renewal date and price action status</t>
        </is>
      </c>
      <c r="C10" s="52" t="inlineStr">
        <is>
          <t>Module 1 briefing prep and Module 5 commercial scenario</t>
        </is>
      </c>
    </row>
    <row r="11" ht="32.25" customHeight="1">
      <c r="A11" s="53" t="inlineStr">
        <is>
          <t>Orders &amp; Backlog</t>
        </is>
      </c>
      <c r="B11" s="53" t="inlineStr">
        <is>
          <t>Rolling 12 months of orders, shipments, ending backlog and book-to-bill</t>
        </is>
      </c>
      <c r="C11" s="53" t="inlineStr">
        <is>
          <t>Module 3 trend analysis with the Analyst agent</t>
        </is>
      </c>
    </row>
    <row r="12" ht="44.25" customHeight="1">
      <c r="A12" s="52" t="inlineStr">
        <is>
          <t>Talent &amp; Headcount</t>
        </is>
      </c>
      <c r="B12" s="52" t="inlineStr">
        <is>
          <t>Headcount, open requisitions, attrition, tenure, engagement and Copilot licence coverage by function</t>
        </is>
      </c>
      <c r="C12" s="52" t="inlineStr">
        <is>
          <t>Module 5 talent scenario and Module 6 ROI baseline</t>
        </is>
      </c>
    </row>
    <row r="13" ht="32.25" customHeight="1">
      <c r="A13" s="53" t="inlineStr">
        <is>
          <t>Copilot ROI Model</t>
        </is>
      </c>
      <c r="B13" s="53" t="inlineStr">
        <is>
          <t>Value model and leader adoption scorecard with baseline, 30-day and 90-day targets</t>
        </is>
      </c>
      <c r="C13" s="53" t="inlineStr">
        <is>
          <t>Module 6 measuring ROI and productivity gains</t>
        </is>
      </c>
    </row>
    <row r="14">
      <c r="A14" s="45" t="n"/>
      <c r="B14" s="45" t="n"/>
      <c r="C14" s="45" t="n"/>
    </row>
    <row r="15">
      <c r="A15" s="49" t="inlineStr">
        <is>
          <t>Colour legend</t>
        </is>
      </c>
      <c r="B15" s="49" t="n"/>
      <c r="C15" s="49" t="n"/>
    </row>
    <row r="16">
      <c r="A16" s="54" t="inlineStr">
        <is>
          <t>Blue text</t>
        </is>
      </c>
      <c r="B16" s="53" t="inlineStr">
        <is>
          <t>A hardcoded input you can change to run a scenario</t>
        </is>
      </c>
      <c r="C16" s="53" t="n"/>
    </row>
    <row r="17">
      <c r="A17" s="55" t="inlineStr">
        <is>
          <t>Black text</t>
        </is>
      </c>
      <c r="B17" s="52" t="inlineStr">
        <is>
          <t>A live formula — it recalculates when you change an input</t>
        </is>
      </c>
      <c r="C17" s="52" t="n"/>
    </row>
    <row r="18">
      <c r="A18" s="54" t="inlineStr">
        <is>
          <t>Green text</t>
        </is>
      </c>
      <c r="B18" s="53" t="inlineStr">
        <is>
          <t>A link pulling a value from another sheet in this workbook</t>
        </is>
      </c>
      <c r="C18" s="53" t="n"/>
    </row>
    <row r="19" ht="32.25" customHeight="1">
      <c r="A19" s="55" t="inlineStr">
        <is>
          <t>Red fill</t>
        </is>
      </c>
      <c r="B19" s="52" t="inlineStr">
        <is>
          <t>A conditional-format flag: below OEE, delivery, margin or book-to-bill threshold, or above the scrap and attrition threshold</t>
        </is>
      </c>
      <c r="C19" s="52" t="n"/>
    </row>
    <row r="20">
      <c r="A20" s="54" t="inlineStr">
        <is>
          <t>Teal fill</t>
        </is>
      </c>
      <c r="B20" s="53" t="inlineStr">
        <is>
          <t>A total, average or headline outcome row</t>
        </is>
      </c>
      <c r="C20" s="53" t="n"/>
    </row>
    <row r="21">
      <c r="A21" s="45" t="n"/>
      <c r="B21" s="45" t="n"/>
      <c r="C21" s="45" t="n"/>
    </row>
    <row r="22">
      <c r="A22" s="49" t="inlineStr">
        <is>
          <t>Key assumptions you should replace before using any of this with a real audience</t>
        </is>
      </c>
      <c r="B22" s="49" t="n"/>
      <c r="C22" s="49" t="n"/>
    </row>
    <row r="23" ht="45.75" customHeight="1">
      <c r="A23" s="53" t="inlineStr">
        <is>
          <t>Hours saved per leader per week, hours saved per other licensed user per week, both fully loaded cost rates and the monthly licence cost on the Copilot ROI Model sheet are PLACEHOLDERS. Substitute ITW finance rates and your own measured survey results before quoting any value figure.</t>
        </is>
      </c>
    </row>
    <row r="24">
      <c r="A24" s="53" t="inlineStr">
        <is>
          <t>The adoption realization factor of 65% is a deliberately conservative planning assumption, not an observed result.</t>
        </is>
      </c>
    </row>
    <row r="25" ht="32.25" customHeight="1">
      <c r="A25" s="53" t="inlineStr">
        <is>
          <t>The adoption scorecard baselines are illustrative starting points. Pull your real baselines from the Microsoft 365 admin centre Copilot usage reporting before the session.</t>
        </is>
      </c>
    </row>
  </sheetData>
  <mergeCells count="6">
    <mergeCell ref="A25:C25"/>
    <mergeCell ref="A1:C1"/>
    <mergeCell ref="A23:C23"/>
    <mergeCell ref="A4:C4"/>
    <mergeCell ref="A24:C24"/>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
  <sheetViews>
    <sheetView workbookViewId="0">
      <pane xSplit="1" ySplit="2" topLeftCell="B3" activePane="bottomRight" state="frozen"/>
      <selection pane="bottomRight" activeCell="A1" sqref="A1"/>
      <selection pane="bottomLeft" activeCell="A1" sqref="A1"/>
      <selection pane="topRight" activeCell="A1" sqref="A1"/>
    </sheetView>
  </sheetViews>
  <sheetFormatPr baseColWidth="8" defaultRowHeight="15"/>
  <cols>
    <col width="26.7109375" customWidth="1" min="1" max="1"/>
    <col width="16.7109375" customWidth="1" min="2" max="4"/>
    <col width="18.7109375" customWidth="1" min="5" max="6"/>
    <col width="16.7109375" customWidth="1" min="7" max="7"/>
    <col width="13.7109375" customWidth="1" min="8" max="11"/>
    <col width="14.7109375" customWidth="1" min="12" max="12"/>
  </cols>
  <sheetData>
    <row r="1" ht="26.25" customHeight="1">
      <c r="A1" s="2" t="inlineStr">
        <is>
          <t>ITW Polymers &amp; Fluids — Rain-X Wiper &amp; Glass Care Division · Q3 FY26 P&amp;L Summary (illustrative sample data)</t>
        </is>
      </c>
    </row>
    <row r="2" ht="33.75" customHeight="1">
      <c r="A2" s="3" t="inlineStr">
        <is>
          <t>Product Line</t>
        </is>
      </c>
      <c r="B2" s="3" t="inlineStr">
        <is>
          <t>Q3 Revenue Actual ($K)</t>
        </is>
      </c>
      <c r="C2" s="3" t="inlineStr">
        <is>
          <t>Q3 Revenue Plan ($K)</t>
        </is>
      </c>
      <c r="D2" s="3" t="inlineStr">
        <is>
          <t>PY Q3 Revenue ($K)</t>
        </is>
      </c>
      <c r="E2" s="3" t="inlineStr">
        <is>
          <t>Q3 Gross Margin $ Actual ($K)</t>
        </is>
      </c>
      <c r="F2" s="3" t="inlineStr">
        <is>
          <t>Q3 Gross Margin $ Plan ($K)</t>
        </is>
      </c>
      <c r="G2" s="3" t="inlineStr">
        <is>
          <t>Revenue vs Plan ($K)</t>
        </is>
      </c>
      <c r="H2" s="3" t="inlineStr">
        <is>
          <t>Revenue vs Plan %</t>
        </is>
      </c>
      <c r="I2" s="3" t="inlineStr">
        <is>
          <t>YoY Revenue %</t>
        </is>
      </c>
      <c r="J2" s="3" t="inlineStr">
        <is>
          <t>Gross Margin % Actual</t>
        </is>
      </c>
      <c r="K2" s="3" t="inlineStr">
        <is>
          <t>Gross Margin % Plan</t>
        </is>
      </c>
      <c r="L2" s="3" t="inlineStr">
        <is>
          <t>Gross Margin Variance (pts)</t>
        </is>
      </c>
    </row>
    <row r="3">
      <c r="A3" s="12" t="inlineStr">
        <is>
          <t>Wiper Blades - Premium</t>
        </is>
      </c>
      <c r="B3" s="6" t="n">
        <v>24850</v>
      </c>
      <c r="C3" s="6" t="n">
        <v>26200</v>
      </c>
      <c r="D3" s="6" t="n">
        <v>23900</v>
      </c>
      <c r="E3" s="6" t="n">
        <v>9190</v>
      </c>
      <c r="F3" s="6" t="n">
        <v>10218</v>
      </c>
      <c r="G3" s="6">
        <f>B3-C3</f>
        <v/>
      </c>
      <c r="H3" s="9">
        <f>B3/C3-1</f>
        <v/>
      </c>
      <c r="I3" s="9">
        <f>B3/D3-1</f>
        <v/>
      </c>
      <c r="J3" s="9">
        <f>E3/B3</f>
        <v/>
      </c>
      <c r="K3" s="9">
        <f>F3/C3</f>
        <v/>
      </c>
      <c r="L3" s="9">
        <f>J3-K3</f>
        <v/>
      </c>
    </row>
    <row r="4">
      <c r="A4" s="13" t="inlineStr">
        <is>
          <t>Wiper Blades - Conventional</t>
        </is>
      </c>
      <c r="B4" s="7" t="n">
        <v>18420</v>
      </c>
      <c r="C4" s="7" t="n">
        <v>17900</v>
      </c>
      <c r="D4" s="7" t="n">
        <v>16850</v>
      </c>
      <c r="E4" s="7" t="n">
        <v>7000</v>
      </c>
      <c r="F4" s="7" t="n">
        <v>6802</v>
      </c>
      <c r="G4" s="7">
        <f>B4-C4</f>
        <v/>
      </c>
      <c r="H4" s="10">
        <f>B4/C4-1</f>
        <v/>
      </c>
      <c r="I4" s="10">
        <f>B4/D4-1</f>
        <v/>
      </c>
      <c r="J4" s="10">
        <f>E4/B4</f>
        <v/>
      </c>
      <c r="K4" s="10">
        <f>F4/C4</f>
        <v/>
      </c>
      <c r="L4" s="10">
        <f>J4-K4</f>
        <v/>
      </c>
    </row>
    <row r="5">
      <c r="A5" s="12" t="inlineStr">
        <is>
          <t>Washer Fluids</t>
        </is>
      </c>
      <c r="B5" s="6" t="n">
        <v>15260</v>
      </c>
      <c r="C5" s="6" t="n">
        <v>16800</v>
      </c>
      <c r="D5" s="6" t="n">
        <v>16100</v>
      </c>
      <c r="E5" s="6" t="n">
        <v>4730</v>
      </c>
      <c r="F5" s="6" t="n">
        <v>5712</v>
      </c>
      <c r="G5" s="6">
        <f>B5-C5</f>
        <v/>
      </c>
      <c r="H5" s="9">
        <f>B5/C5-1</f>
        <v/>
      </c>
      <c r="I5" s="9">
        <f>B5/D5-1</f>
        <v/>
      </c>
      <c r="J5" s="9">
        <f>E5/B5</f>
        <v/>
      </c>
      <c r="K5" s="9">
        <f>F5/C5</f>
        <v/>
      </c>
      <c r="L5" s="9">
        <f>J5-K5</f>
        <v/>
      </c>
    </row>
    <row r="6">
      <c r="A6" s="13" t="inlineStr">
        <is>
          <t>Glass Treatments</t>
        </is>
      </c>
      <c r="B6" s="7" t="n">
        <v>12940</v>
      </c>
      <c r="C6" s="7" t="n">
        <v>12100</v>
      </c>
      <c r="D6" s="7" t="n">
        <v>11400</v>
      </c>
      <c r="E6" s="7" t="n">
        <v>5050</v>
      </c>
      <c r="F6" s="7" t="n">
        <v>4598</v>
      </c>
      <c r="G6" s="7">
        <f>B6-C6</f>
        <v/>
      </c>
      <c r="H6" s="10">
        <f>B6/C6-1</f>
        <v/>
      </c>
      <c r="I6" s="10">
        <f>B6/D6-1</f>
        <v/>
      </c>
      <c r="J6" s="10">
        <f>E6/B6</f>
        <v/>
      </c>
      <c r="K6" s="10">
        <f>F6/C6</f>
        <v/>
      </c>
      <c r="L6" s="10">
        <f>J6-K6</f>
        <v/>
      </c>
    </row>
    <row r="7">
      <c r="A7" s="12" t="inlineStr">
        <is>
          <t>Winter &amp; De-Icer Fluids</t>
        </is>
      </c>
      <c r="B7" s="6" t="n">
        <v>9780</v>
      </c>
      <c r="C7" s="6" t="n">
        <v>10400</v>
      </c>
      <c r="D7" s="6" t="n">
        <v>10050</v>
      </c>
      <c r="E7" s="6" t="n">
        <v>3130</v>
      </c>
      <c r="F7" s="6" t="n">
        <v>3536</v>
      </c>
      <c r="G7" s="6">
        <f>B7-C7</f>
        <v/>
      </c>
      <c r="H7" s="9">
        <f>B7/C7-1</f>
        <v/>
      </c>
      <c r="I7" s="9">
        <f>B7/D7-1</f>
        <v/>
      </c>
      <c r="J7" s="9">
        <f>E7/B7</f>
        <v/>
      </c>
      <c r="K7" s="9">
        <f>F7/C7</f>
        <v/>
      </c>
      <c r="L7" s="9">
        <f>J7-K7</f>
        <v/>
      </c>
    </row>
    <row r="8">
      <c r="A8" s="13" t="inlineStr">
        <is>
          <t>Wiper Refills &amp; Accessories</t>
        </is>
      </c>
      <c r="B8" s="7" t="n">
        <v>7310</v>
      </c>
      <c r="C8" s="7" t="n">
        <v>6500</v>
      </c>
      <c r="D8" s="7" t="n">
        <v>5980</v>
      </c>
      <c r="E8" s="7" t="n">
        <v>3290</v>
      </c>
      <c r="F8" s="7" t="n">
        <v>2860</v>
      </c>
      <c r="G8" s="7">
        <f>B8-C8</f>
        <v/>
      </c>
      <c r="H8" s="10">
        <f>B8/C8-1</f>
        <v/>
      </c>
      <c r="I8" s="10">
        <f>B8/D8-1</f>
        <v/>
      </c>
      <c r="J8" s="10">
        <f>E8/B8</f>
        <v/>
      </c>
      <c r="K8" s="10">
        <f>F8/C8</f>
        <v/>
      </c>
      <c r="L8" s="10">
        <f>J8-K8</f>
        <v/>
      </c>
    </row>
    <row r="9">
      <c r="A9" s="14" t="inlineStr">
        <is>
          <t>Division Total</t>
        </is>
      </c>
      <c r="B9" s="8">
        <f>SUM(B3:B8)</f>
        <v/>
      </c>
      <c r="C9" s="8">
        <f>SUM(C3:C8)</f>
        <v/>
      </c>
      <c r="D9" s="8">
        <f>SUM(D3:D8)</f>
        <v/>
      </c>
      <c r="E9" s="8">
        <f>SUM(E3:E8)</f>
        <v/>
      </c>
      <c r="F9" s="8">
        <f>SUM(F3:F8)</f>
        <v/>
      </c>
      <c r="G9" s="8">
        <f>B9-C9</f>
        <v/>
      </c>
      <c r="H9" s="11">
        <f>B9/C9-1</f>
        <v/>
      </c>
      <c r="I9" s="11">
        <f>B9/D9-1</f>
        <v/>
      </c>
      <c r="J9" s="11">
        <f>E9/B9</f>
        <v/>
      </c>
      <c r="K9" s="11">
        <f>F9/C9</f>
        <v/>
      </c>
      <c r="L9" s="11">
        <f>J9-K9</f>
        <v/>
      </c>
    </row>
  </sheetData>
  <mergeCells count="1">
    <mergeCell ref="A1:L1"/>
  </mergeCells>
  <pageMargins left="0.7" right="0.7" top="0.75" bottom="0.75" header="0.3" footer="0.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I11"/>
  <sheetViews>
    <sheetView workbookViewId="0">
      <pane xSplit="1" ySplit="2" topLeftCell="B3" activePane="bottomRight" state="frozen"/>
      <selection pane="bottomRight" activeCell="A1" sqref="A1"/>
      <selection pane="bottomLeft" activeCell="A1" sqref="A1"/>
      <selection pane="topRight" activeCell="A1" sqref="A1"/>
    </sheetView>
  </sheetViews>
  <sheetFormatPr baseColWidth="8" defaultRowHeight="15"/>
  <cols>
    <col width="26.7109375" customWidth="1" min="1" max="1"/>
    <col width="18.7109375" customWidth="1" min="2" max="2"/>
    <col width="15.7109375" customWidth="1" min="3" max="3"/>
    <col width="16.7109375" customWidth="1" min="4" max="4"/>
    <col width="14.7109375" customWidth="1" min="5" max="5"/>
    <col width="13.7109375" customWidth="1" min="6" max="6"/>
    <col width="18.7109375" customWidth="1" min="7" max="7"/>
    <col width="16.7109375" customWidth="1" min="8" max="8"/>
    <col width="14.7109375" customWidth="1" min="9" max="9"/>
  </cols>
  <sheetData>
    <row r="1" ht="26.25" customHeight="1">
      <c r="A1" s="2" t="inlineStr">
        <is>
          <t>Q3 FY26 Revenue Bridge — Price / Volume / Mix / FX vs Prior Year (illustrative sample data)</t>
        </is>
      </c>
    </row>
    <row r="2" ht="33.75" customHeight="1">
      <c r="A2" s="3" t="inlineStr">
        <is>
          <t>Product Line</t>
        </is>
      </c>
      <c r="B2" s="3" t="inlineStr">
        <is>
          <t>PY Q3 Revenue ($K)</t>
        </is>
      </c>
      <c r="C2" s="3" t="inlineStr">
        <is>
          <t>Price Impact ($K)</t>
        </is>
      </c>
      <c r="D2" s="3" t="inlineStr">
        <is>
          <t>Volume Impact ($K)</t>
        </is>
      </c>
      <c r="E2" s="3" t="inlineStr">
        <is>
          <t>Mix Impact ($K)</t>
        </is>
      </c>
      <c r="F2" s="3" t="inlineStr">
        <is>
          <t>FX Impact ($K)</t>
        </is>
      </c>
      <c r="G2" s="3" t="inlineStr">
        <is>
          <t>Q3 FY26 Revenue ($K)</t>
        </is>
      </c>
      <c r="H2" s="3" t="inlineStr">
        <is>
          <t>Total Change ($K)</t>
        </is>
      </c>
      <c r="I2" s="3" t="inlineStr">
        <is>
          <t>Total Change %</t>
        </is>
      </c>
    </row>
    <row r="3">
      <c r="A3" s="61" t="inlineStr">
        <is>
          <t>Wiper Blades - Premium</t>
        </is>
      </c>
      <c r="B3" s="6" t="n">
        <v>23900</v>
      </c>
      <c r="C3" s="6" t="n">
        <v>1780</v>
      </c>
      <c r="D3" s="6" t="n">
        <v>-1090</v>
      </c>
      <c r="E3" s="6" t="n">
        <v>190</v>
      </c>
      <c r="F3" s="6" t="n">
        <v>70</v>
      </c>
      <c r="G3" s="6">
        <f>SUM(B3:F3)</f>
        <v/>
      </c>
      <c r="H3" s="6">
        <f>G3-B3</f>
        <v/>
      </c>
      <c r="I3" s="9">
        <f>H3/B3</f>
        <v/>
      </c>
    </row>
    <row r="4">
      <c r="A4" s="4" t="inlineStr">
        <is>
          <t>Wiper Blades - Conventional</t>
        </is>
      </c>
      <c r="B4" s="7" t="n">
        <v>16850</v>
      </c>
      <c r="C4" s="7" t="n">
        <v>940</v>
      </c>
      <c r="D4" s="7" t="n">
        <v>520</v>
      </c>
      <c r="E4" s="7" t="n">
        <v>65</v>
      </c>
      <c r="F4" s="7" t="n">
        <v>45</v>
      </c>
      <c r="G4" s="7">
        <f>SUM(B4:F4)</f>
        <v/>
      </c>
      <c r="H4" s="7">
        <f>G4-B4</f>
        <v/>
      </c>
      <c r="I4" s="10">
        <f>H4/B4</f>
        <v/>
      </c>
    </row>
    <row r="5">
      <c r="A5" s="61" t="inlineStr">
        <is>
          <t>Washer Fluids</t>
        </is>
      </c>
      <c r="B5" s="6" t="n">
        <v>16100</v>
      </c>
      <c r="C5" s="6" t="n">
        <v>410</v>
      </c>
      <c r="D5" s="6" t="n">
        <v>-1320</v>
      </c>
      <c r="E5" s="6" t="n">
        <v>40</v>
      </c>
      <c r="F5" s="6" t="n">
        <v>30</v>
      </c>
      <c r="G5" s="6">
        <f>SUM(B5:F5)</f>
        <v/>
      </c>
      <c r="H5" s="6">
        <f>G5-B5</f>
        <v/>
      </c>
      <c r="I5" s="9">
        <f>H5/B5</f>
        <v/>
      </c>
    </row>
    <row r="6">
      <c r="A6" s="4" t="inlineStr">
        <is>
          <t>Glass Treatments</t>
        </is>
      </c>
      <c r="B6" s="7" t="n">
        <v>11400</v>
      </c>
      <c r="C6" s="7" t="n">
        <v>720</v>
      </c>
      <c r="D6" s="7" t="n">
        <v>690</v>
      </c>
      <c r="E6" s="7" t="n">
        <v>105</v>
      </c>
      <c r="F6" s="7" t="n">
        <v>25</v>
      </c>
      <c r="G6" s="7">
        <f>SUM(B6:F6)</f>
        <v/>
      </c>
      <c r="H6" s="7">
        <f>G6-B6</f>
        <v/>
      </c>
      <c r="I6" s="10">
        <f>H6/B6</f>
        <v/>
      </c>
    </row>
    <row r="7">
      <c r="A7" s="61" t="inlineStr">
        <is>
          <t>Winter &amp; De-Icer Fluids</t>
        </is>
      </c>
      <c r="B7" s="6" t="n">
        <v>10050</v>
      </c>
      <c r="C7" s="6" t="n">
        <v>260</v>
      </c>
      <c r="D7" s="6" t="n">
        <v>-620</v>
      </c>
      <c r="E7" s="6" t="n">
        <v>75</v>
      </c>
      <c r="F7" s="6" t="n">
        <v>15</v>
      </c>
      <c r="G7" s="6">
        <f>SUM(B7:F7)</f>
        <v/>
      </c>
      <c r="H7" s="6">
        <f>G7-B7</f>
        <v/>
      </c>
      <c r="I7" s="9">
        <f>H7/B7</f>
        <v/>
      </c>
    </row>
    <row r="8">
      <c r="A8" s="4" t="inlineStr">
        <is>
          <t>Wiper Refills &amp; Accessories</t>
        </is>
      </c>
      <c r="B8" s="7" t="n">
        <v>5980</v>
      </c>
      <c r="C8" s="7" t="n">
        <v>380</v>
      </c>
      <c r="D8" s="7" t="n">
        <v>860</v>
      </c>
      <c r="E8" s="7" t="n">
        <v>80</v>
      </c>
      <c r="F8" s="7" t="n">
        <v>10</v>
      </c>
      <c r="G8" s="7">
        <f>SUM(B8:F8)</f>
        <v/>
      </c>
      <c r="H8" s="7">
        <f>G8-B8</f>
        <v/>
      </c>
      <c r="I8" s="10">
        <f>H8/B8</f>
        <v/>
      </c>
    </row>
    <row r="9">
      <c r="A9" s="5" t="inlineStr">
        <is>
          <t>Division Total</t>
        </is>
      </c>
      <c r="B9" s="8">
        <f>SUM(B3:B8)</f>
        <v/>
      </c>
      <c r="C9" s="8">
        <f>SUM(C3:C8)</f>
        <v/>
      </c>
      <c r="D9" s="8">
        <f>SUM(D3:D8)</f>
        <v/>
      </c>
      <c r="E9" s="8">
        <f>SUM(E3:E8)</f>
        <v/>
      </c>
      <c r="F9" s="8">
        <f>SUM(F3:F8)</f>
        <v/>
      </c>
      <c r="G9" s="8">
        <f>SUM(G3:G8)</f>
        <v/>
      </c>
      <c r="H9" s="8">
        <f>G9-B9</f>
        <v/>
      </c>
      <c r="I9" s="11">
        <f>H9/B9</f>
        <v/>
      </c>
    </row>
    <row r="10">
      <c r="A10" s="61" t="n"/>
      <c r="B10" s="61" t="n"/>
      <c r="C10" s="61" t="n"/>
      <c r="D10" s="61" t="n"/>
      <c r="E10" s="61" t="n"/>
      <c r="F10" s="61" t="n"/>
      <c r="G10" s="61" t="n"/>
      <c r="H10" s="61" t="n"/>
      <c r="I10" s="61" t="n"/>
    </row>
    <row r="11">
      <c r="A11" s="59" t="inlineStr">
        <is>
          <t>Check: bridge total less P&amp;L Summary division revenue (should be 0)</t>
        </is>
      </c>
      <c r="G11" s="59">
        <f>G9-'P&amp;L Summary'!B9</f>
        <v/>
      </c>
      <c r="H11" s="61" t="n"/>
      <c r="I11" s="61" t="n"/>
    </row>
  </sheetData>
  <mergeCells count="2">
    <mergeCell ref="A1:I1"/>
    <mergeCell ref="A11:F11"/>
  </mergeCells>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I9"/>
  <sheetViews>
    <sheetView workbookViewId="0">
      <pane xSplit="2" ySplit="2" topLeftCell="C3" activePane="bottomRight" state="frozen"/>
      <selection pane="bottomRight" activeCell="A1" sqref="A1"/>
      <selection pane="bottomLeft" activeCell="A1" sqref="A1"/>
      <selection pane="topRight" activeCell="A1" sqref="A1"/>
    </sheetView>
  </sheetViews>
  <sheetFormatPr baseColWidth="8" defaultRowHeight="15"/>
  <cols>
    <col width="24.7109375" customWidth="1" min="1" max="1"/>
    <col width="18.7109375" customWidth="1" min="2" max="2"/>
    <col width="12.7109375" customWidth="1" min="3" max="3"/>
    <col width="13.7109375" customWidth="1" min="4" max="4"/>
    <col width="17.7109375" customWidth="1" min="5" max="5"/>
    <col width="13.7109375" customWidth="1" min="6" max="6"/>
    <col width="17.7109375" customWidth="1" min="7" max="7"/>
    <col width="19.7109375" customWidth="1" min="8" max="8"/>
    <col width="16.7109375" customWidth="1" min="9" max="9"/>
  </cols>
  <sheetData>
    <row r="1" ht="26.25" customHeight="1">
      <c r="A1" s="2" t="inlineStr">
        <is>
          <t>Q3 FY26 Plant Operations Scorecard — Rain-X Wiper &amp; Glass Care Division (illustrative sample data)</t>
        </is>
      </c>
    </row>
    <row r="2" ht="33.75" customHeight="1">
      <c r="A2" s="3" t="inlineStr">
        <is>
          <t>Plant</t>
        </is>
      </c>
      <c r="B2" s="3" t="inlineStr">
        <is>
          <t>Location</t>
        </is>
      </c>
      <c r="C2" s="3" t="inlineStr">
        <is>
          <t>OEE</t>
        </is>
      </c>
      <c r="D2" s="3" t="inlineStr">
        <is>
          <t>Scrap Rate</t>
        </is>
      </c>
      <c r="E2" s="3" t="inlineStr">
        <is>
          <t>On-Time Delivery</t>
        </is>
      </c>
      <c r="F2" s="3" t="inlineStr">
        <is>
          <t>Safety TRIR</t>
        </is>
      </c>
      <c r="G2" s="3" t="inlineStr">
        <is>
          <t>Q3 Output (K units)</t>
        </is>
      </c>
      <c r="H2" s="3" t="inlineStr">
        <is>
          <t>Q3 Plan Output (K units)</t>
        </is>
      </c>
      <c r="I2" s="3" t="inlineStr">
        <is>
          <t>Output vs Plan %</t>
        </is>
      </c>
    </row>
    <row r="3">
      <c r="A3" s="12" t="inlineStr">
        <is>
          <t>Elgin Blade Works</t>
        </is>
      </c>
      <c r="B3" s="12" t="inlineStr">
        <is>
          <t>Elgin, IL</t>
        </is>
      </c>
      <c r="C3" s="9" t="n">
        <v>0.782</v>
      </c>
      <c r="D3" s="9" t="n">
        <v>0.041</v>
      </c>
      <c r="E3" s="9" t="n">
        <v>0.9429999999999999</v>
      </c>
      <c r="F3" s="19" t="n">
        <v>0.82</v>
      </c>
      <c r="G3" s="24" t="n">
        <v>1240</v>
      </c>
      <c r="H3" s="24" t="n">
        <v>1300</v>
      </c>
      <c r="I3" s="9">
        <f>G3/H3-1</f>
        <v/>
      </c>
    </row>
    <row r="4">
      <c r="A4" s="13" t="inlineStr">
        <is>
          <t>Rockford Fluids</t>
        </is>
      </c>
      <c r="B4" s="13" t="inlineStr">
        <is>
          <t>Rockford, IL</t>
        </is>
      </c>
      <c r="C4" s="10" t="n">
        <v>0.714</v>
      </c>
      <c r="D4" s="10" t="n">
        <v>0.062</v>
      </c>
      <c r="E4" s="10" t="n">
        <v>0.887</v>
      </c>
      <c r="F4" s="20" t="n">
        <v>1.45</v>
      </c>
      <c r="G4" s="25" t="n">
        <v>980</v>
      </c>
      <c r="H4" s="25" t="n">
        <v>1120</v>
      </c>
      <c r="I4" s="10">
        <f>G4/H4-1</f>
        <v/>
      </c>
    </row>
    <row r="5">
      <c r="A5" s="12" t="inlineStr">
        <is>
          <t>Greenville Glass Care</t>
        </is>
      </c>
      <c r="B5" s="12" t="inlineStr">
        <is>
          <t>Greenville, SC</t>
        </is>
      </c>
      <c r="C5" s="9" t="n">
        <v>0.836</v>
      </c>
      <c r="D5" s="9" t="n">
        <v>0.028</v>
      </c>
      <c r="E5" s="9" t="n">
        <v>0.968</v>
      </c>
      <c r="F5" s="19" t="n">
        <v>0.41</v>
      </c>
      <c r="G5" s="24" t="n">
        <v>1510</v>
      </c>
      <c r="H5" s="24" t="n">
        <v>1470</v>
      </c>
      <c r="I5" s="9">
        <f>G5/H5-1</f>
        <v/>
      </c>
    </row>
    <row r="6">
      <c r="A6" s="13" t="inlineStr">
        <is>
          <t>Monterrey Blade Assembly</t>
        </is>
      </c>
      <c r="B6" s="13" t="inlineStr">
        <is>
          <t>Monterrey, MX</t>
        </is>
      </c>
      <c r="C6" s="10" t="n">
        <v>0.759</v>
      </c>
      <c r="D6" s="10" t="n">
        <v>0.049</v>
      </c>
      <c r="E6" s="10" t="n">
        <v>0.912</v>
      </c>
      <c r="F6" s="20" t="n">
        <v>1.1</v>
      </c>
      <c r="G6" s="25" t="n">
        <v>1180</v>
      </c>
      <c r="H6" s="25" t="n">
        <v>1250</v>
      </c>
      <c r="I6" s="10">
        <f>G6/H6-1</f>
        <v/>
      </c>
    </row>
    <row r="7">
      <c r="A7" s="12" t="inlineStr">
        <is>
          <t>Gdansk Blade Works</t>
        </is>
      </c>
      <c r="B7" s="12" t="inlineStr">
        <is>
          <t>Gdansk, PL</t>
        </is>
      </c>
      <c r="C7" s="9" t="n">
        <v>0.801</v>
      </c>
      <c r="D7" s="9" t="n">
        <v>0.035</v>
      </c>
      <c r="E7" s="9" t="n">
        <v>0.951</v>
      </c>
      <c r="F7" s="19" t="n">
        <v>0.66</v>
      </c>
      <c r="G7" s="24" t="n">
        <v>860</v>
      </c>
      <c r="H7" s="24" t="n">
        <v>840</v>
      </c>
      <c r="I7" s="9">
        <f>G7/H7-1</f>
        <v/>
      </c>
    </row>
    <row r="8">
      <c r="A8" s="13" t="inlineStr">
        <is>
          <t>Suzhou Wiper Components</t>
        </is>
      </c>
      <c r="B8" s="13" t="inlineStr">
        <is>
          <t>Suzhou, CN</t>
        </is>
      </c>
      <c r="C8" s="10" t="n">
        <v>0.723</v>
      </c>
      <c r="D8" s="10" t="n">
        <v>0.058</v>
      </c>
      <c r="E8" s="10" t="n">
        <v>0.894</v>
      </c>
      <c r="F8" s="20" t="n">
        <v>0.95</v>
      </c>
      <c r="G8" s="25" t="n">
        <v>1020</v>
      </c>
      <c r="H8" s="25" t="n">
        <v>1150</v>
      </c>
      <c r="I8" s="10">
        <f>G8/H8-1</f>
        <v/>
      </c>
    </row>
    <row r="9">
      <c r="A9" s="14" t="inlineStr">
        <is>
          <t>Division (avg / total)</t>
        </is>
      </c>
      <c r="B9" s="14" t="n"/>
      <c r="C9" s="11">
        <f>AVERAGE(C3:C8)</f>
        <v/>
      </c>
      <c r="D9" s="11">
        <f>AVERAGE(D3:D8)</f>
        <v/>
      </c>
      <c r="E9" s="11">
        <f>AVERAGE(E3:E8)</f>
        <v/>
      </c>
      <c r="F9" s="21">
        <f>AVERAGE(F3:F8)</f>
        <v/>
      </c>
      <c r="G9" s="26">
        <f>SUM(G3:G8)</f>
        <v/>
      </c>
      <c r="H9" s="26">
        <f>SUM(H3:H8)</f>
        <v/>
      </c>
      <c r="I9" s="11">
        <f>G9/H9-1</f>
        <v/>
      </c>
    </row>
  </sheetData>
  <mergeCells count="1">
    <mergeCell ref="A1:I1"/>
  </mergeCells>
  <conditionalFormatting sqref="C3:C8">
    <cfRule type="cellIs" priority="1" operator="lessThan" dxfId="0">
      <formula>0.75</formula>
    </cfRule>
  </conditionalFormatting>
  <conditionalFormatting sqref="D3:D8">
    <cfRule type="cellIs" priority="2" operator="greaterThan" dxfId="0">
      <formula>0.045</formula>
    </cfRule>
  </conditionalFormatting>
  <conditionalFormatting sqref="E3:E8">
    <cfRule type="cellIs" priority="3" operator="lessThan" dxfId="0">
      <formula>0.92</formula>
    </cfRule>
  </conditionalFormatting>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5"/>
  <sheetViews>
    <sheetView workbookViewId="0">
      <pane xSplit="1" ySplit="2" topLeftCell="B3" activePane="bottomRight" state="frozen"/>
      <selection pane="bottomRight" activeCell="A1" sqref="A1"/>
      <selection pane="bottomLeft" activeCell="A1" sqref="A1"/>
      <selection pane="topRight" activeCell="A1" sqref="A1"/>
    </sheetView>
  </sheetViews>
  <sheetFormatPr baseColWidth="8" defaultRowHeight="15"/>
  <cols>
    <col width="32.7109375" customWidth="1" min="1" max="1"/>
    <col width="20.7109375" customWidth="1" min="2" max="2"/>
    <col width="17.7109375" customWidth="1" min="3" max="3"/>
    <col width="15.7109375" customWidth="1" min="4" max="4"/>
    <col width="22.7109375" customWidth="1" min="5" max="5"/>
    <col width="30.7109375" customWidth="1" min="6" max="6"/>
    <col width="18.7109375" customWidth="1" min="7" max="8"/>
  </cols>
  <sheetData>
    <row r="1" ht="26.25" customHeight="1">
      <c r="A1" s="2" t="inlineStr">
        <is>
          <t>Q3 FY26 Top-12 Customer Revenue &amp; Margin — Rain-X Wiper &amp; Glass Care Division (illustrative sample data)</t>
        </is>
      </c>
    </row>
    <row r="2" ht="33.75" customHeight="1">
      <c r="A2" s="3" t="inlineStr">
        <is>
          <t>Customer</t>
        </is>
      </c>
      <c r="B2" s="3" t="inlineStr">
        <is>
          <t>Segment Served</t>
        </is>
      </c>
      <c r="C2" s="3" t="inlineStr">
        <is>
          <t>Q3 Revenue ($K)</t>
        </is>
      </c>
      <c r="D2" s="3" t="inlineStr">
        <is>
          <t>Gross Margin %</t>
        </is>
      </c>
      <c r="E2" s="3" t="inlineStr">
        <is>
          <t>Contract Renewal (YYYY-MM-DD)</t>
        </is>
      </c>
      <c r="F2" s="3" t="inlineStr">
        <is>
          <t>Price Action Status</t>
        </is>
      </c>
      <c r="G2" s="3" t="inlineStr">
        <is>
          <t>Gross Margin $ ($K)</t>
        </is>
      </c>
      <c r="H2" s="3" t="inlineStr">
        <is>
          <t>% of Division Revenue</t>
        </is>
      </c>
    </row>
    <row r="3">
      <c r="A3" s="61" t="inlineStr">
        <is>
          <t>Northwind Auto Parts</t>
        </is>
      </c>
      <c r="B3" s="61" t="inlineStr">
        <is>
          <t>National Retail</t>
        </is>
      </c>
      <c r="C3" s="6" t="n">
        <v>9420</v>
      </c>
      <c r="D3" s="9" t="n">
        <v>0.286</v>
      </c>
      <c r="E3" s="17" t="n">
        <v>46477</v>
      </c>
      <c r="F3" s="12" t="inlineStr">
        <is>
          <t>Increase proposed - pending</t>
        </is>
      </c>
      <c r="G3" s="6">
        <f>C3*D3</f>
        <v/>
      </c>
      <c r="H3" s="9">
        <f>C3/'P&amp;L Summary'!$B$9</f>
        <v/>
      </c>
    </row>
    <row r="4">
      <c r="A4" s="4" t="inlineStr">
        <is>
          <t>Cascade Service Group</t>
        </is>
      </c>
      <c r="B4" s="4" t="inlineStr">
        <is>
          <t>Installer Network</t>
        </is>
      </c>
      <c r="C4" s="7" t="n">
        <v>6180</v>
      </c>
      <c r="D4" s="10" t="n">
        <v>0.441</v>
      </c>
      <c r="E4" s="18" t="n">
        <v>46934</v>
      </c>
      <c r="F4" s="13" t="inlineStr">
        <is>
          <t>No action needed</t>
        </is>
      </c>
      <c r="G4" s="7">
        <f>C4*D4</f>
        <v/>
      </c>
      <c r="H4" s="10">
        <f>C4/'P&amp;L Summary'!$B$9</f>
        <v/>
      </c>
    </row>
    <row r="5">
      <c r="A5" s="61" t="inlineStr">
        <is>
          <t>Meridian Mass Retail</t>
        </is>
      </c>
      <c r="B5" s="61" t="inlineStr">
        <is>
          <t>Mass Retail</t>
        </is>
      </c>
      <c r="C5" s="6" t="n">
        <v>5940</v>
      </c>
      <c r="D5" s="9" t="n">
        <v>0.318</v>
      </c>
      <c r="E5" s="17" t="n">
        <v>46387</v>
      </c>
      <c r="F5" s="12" t="inlineStr">
        <is>
          <t>Increase accepted</t>
        </is>
      </c>
      <c r="G5" s="6">
        <f>C5*D5</f>
        <v/>
      </c>
      <c r="H5" s="9">
        <f>C5/'P&amp;L Summary'!$B$9</f>
        <v/>
      </c>
    </row>
    <row r="6">
      <c r="A6" s="4" t="inlineStr">
        <is>
          <t>Halverson Fleet Services</t>
        </is>
      </c>
      <c r="B6" s="4" t="inlineStr">
        <is>
          <t>Fleet</t>
        </is>
      </c>
      <c r="C6" s="7" t="n">
        <v>4310</v>
      </c>
      <c r="D6" s="10" t="n">
        <v>0.372</v>
      </c>
      <c r="E6" s="18" t="n">
        <v>46660</v>
      </c>
      <c r="F6" s="13" t="inlineStr">
        <is>
          <t>No action needed</t>
        </is>
      </c>
      <c r="G6" s="7">
        <f>C6*D6</f>
        <v/>
      </c>
      <c r="H6" s="10">
        <f>C6/'P&amp;L Summary'!$B$9</f>
        <v/>
      </c>
    </row>
    <row r="7">
      <c r="A7" s="61" t="inlineStr">
        <is>
          <t>Tri-State Distribution</t>
        </is>
      </c>
      <c r="B7" s="61" t="inlineStr">
        <is>
          <t>Wholesale Distribution</t>
        </is>
      </c>
      <c r="C7" s="6" t="n">
        <v>3880</v>
      </c>
      <c r="D7" s="9" t="n">
        <v>0.244</v>
      </c>
      <c r="E7" s="17" t="n">
        <v>46356</v>
      </c>
      <c r="F7" s="12" t="inlineStr">
        <is>
          <t>Increase proposed - resisted</t>
        </is>
      </c>
      <c r="G7" s="6">
        <f>C7*D7</f>
        <v/>
      </c>
      <c r="H7" s="9">
        <f>C7/'P&amp;L Summary'!$B$9</f>
        <v/>
      </c>
    </row>
    <row r="8">
      <c r="A8" s="4" t="inlineStr">
        <is>
          <t>Bluegrass Farm &amp; Auto</t>
        </is>
      </c>
      <c r="B8" s="4" t="inlineStr">
        <is>
          <t>Rural Retail</t>
        </is>
      </c>
      <c r="C8" s="7" t="n">
        <v>3620</v>
      </c>
      <c r="D8" s="10" t="n">
        <v>0.351</v>
      </c>
      <c r="E8" s="18" t="n">
        <v>46538</v>
      </c>
      <c r="F8" s="13" t="inlineStr">
        <is>
          <t>Increase accepted</t>
        </is>
      </c>
      <c r="G8" s="7">
        <f>C8*D8</f>
        <v/>
      </c>
      <c r="H8" s="10">
        <f>C8/'P&amp;L Summary'!$B$9</f>
        <v/>
      </c>
    </row>
    <row r="9">
      <c r="A9" s="61" t="inlineStr">
        <is>
          <t>Vantage Glass OEM</t>
        </is>
      </c>
      <c r="B9" s="61" t="inlineStr">
        <is>
          <t>Glass OEM</t>
        </is>
      </c>
      <c r="C9" s="6" t="n">
        <v>3150</v>
      </c>
      <c r="D9" s="9" t="n">
        <v>0.478</v>
      </c>
      <c r="E9" s="17" t="n">
        <v>47149</v>
      </c>
      <c r="F9" s="12" t="inlineStr">
        <is>
          <t>No action needed</t>
        </is>
      </c>
      <c r="G9" s="6">
        <f>C9*D9</f>
        <v/>
      </c>
      <c r="H9" s="9">
        <f>C9/'P&amp;L Summary'!$B$9</f>
        <v/>
      </c>
    </row>
    <row r="10">
      <c r="A10" s="4" t="inlineStr">
        <is>
          <t>Keystone Travel Centers</t>
        </is>
      </c>
      <c r="B10" s="4" t="inlineStr">
        <is>
          <t>Travel Retail</t>
        </is>
      </c>
      <c r="C10" s="7" t="n">
        <v>2970</v>
      </c>
      <c r="D10" s="10" t="n">
        <v>0.297</v>
      </c>
      <c r="E10" s="18" t="n">
        <v>46326</v>
      </c>
      <c r="F10" s="13" t="inlineStr">
        <is>
          <t>Increase proposed - pending</t>
        </is>
      </c>
      <c r="G10" s="7">
        <f>C10*D10</f>
        <v/>
      </c>
      <c r="H10" s="10">
        <f>C10/'P&amp;L Summary'!$B$9</f>
        <v/>
      </c>
    </row>
    <row r="11">
      <c r="A11" s="61" t="inlineStr">
        <is>
          <t>Lakeshore Car Care</t>
        </is>
      </c>
      <c r="B11" s="61" t="inlineStr">
        <is>
          <t>Quick Lube</t>
        </is>
      </c>
      <c r="C11" s="6" t="n">
        <v>2540</v>
      </c>
      <c r="D11" s="9" t="n">
        <v>0.331</v>
      </c>
      <c r="E11" s="17" t="n">
        <v>46599</v>
      </c>
      <c r="F11" s="12" t="inlineStr">
        <is>
          <t>No action needed</t>
        </is>
      </c>
      <c r="G11" s="6">
        <f>C11*D11</f>
        <v/>
      </c>
      <c r="H11" s="9">
        <f>C11/'P&amp;L Summary'!$B$9</f>
        <v/>
      </c>
    </row>
    <row r="12">
      <c r="A12" s="4" t="inlineStr">
        <is>
          <t>Orion Online</t>
        </is>
      </c>
      <c r="B12" s="4" t="inlineStr">
        <is>
          <t>E-commerce</t>
        </is>
      </c>
      <c r="C12" s="7" t="n">
        <v>2310</v>
      </c>
      <c r="D12" s="10" t="n">
        <v>0.412</v>
      </c>
      <c r="E12" s="18" t="n">
        <v>46811</v>
      </c>
      <c r="F12" s="13" t="inlineStr">
        <is>
          <t>Increase accepted</t>
        </is>
      </c>
      <c r="G12" s="7">
        <f>C12*D12</f>
        <v/>
      </c>
      <c r="H12" s="10">
        <f>C12/'P&amp;L Summary'!$B$9</f>
        <v/>
      </c>
    </row>
    <row r="13">
      <c r="A13" s="61" t="inlineStr">
        <is>
          <t>Redcliff Fleet Supply</t>
        </is>
      </c>
      <c r="B13" s="61" t="inlineStr">
        <is>
          <t>Fleet Supply</t>
        </is>
      </c>
      <c r="C13" s="6" t="n">
        <v>1980</v>
      </c>
      <c r="D13" s="9" t="n">
        <v>0.226</v>
      </c>
      <c r="E13" s="17" t="n">
        <v>46387</v>
      </c>
      <c r="F13" s="12" t="inlineStr">
        <is>
          <t>Under margin review</t>
        </is>
      </c>
      <c r="G13" s="6">
        <f>C13*D13</f>
        <v/>
      </c>
      <c r="H13" s="9">
        <f>C13/'P&amp;L Summary'!$B$9</f>
        <v/>
      </c>
    </row>
    <row r="14">
      <c r="A14" s="4" t="inlineStr">
        <is>
          <t>Summit Collision Centers</t>
        </is>
      </c>
      <c r="B14" s="4" t="inlineStr">
        <is>
          <t>Collision Repair</t>
        </is>
      </c>
      <c r="C14" s="7" t="n">
        <v>1760</v>
      </c>
      <c r="D14" s="10" t="n">
        <v>0.389</v>
      </c>
      <c r="E14" s="18" t="n">
        <v>46507</v>
      </c>
      <c r="F14" s="13" t="inlineStr">
        <is>
          <t>No action needed</t>
        </is>
      </c>
      <c r="G14" s="7">
        <f>C14*D14</f>
        <v/>
      </c>
      <c r="H14" s="10">
        <f>C14/'P&amp;L Summary'!$B$9</f>
        <v/>
      </c>
    </row>
    <row r="15">
      <c r="A15" s="5" t="inlineStr">
        <is>
          <t>Top 12 Total</t>
        </is>
      </c>
      <c r="B15" s="5" t="n"/>
      <c r="C15" s="8">
        <f>SUM(C3:C14)</f>
        <v/>
      </c>
      <c r="D15" s="11">
        <f>G15/C15</f>
        <v/>
      </c>
      <c r="E15" s="14" t="n"/>
      <c r="F15" s="14" t="n"/>
      <c r="G15" s="8">
        <f>SUM(G3:G14)</f>
        <v/>
      </c>
      <c r="H15" s="11">
        <f>SUM(H3:H14)</f>
        <v/>
      </c>
    </row>
  </sheetData>
  <mergeCells count="1">
    <mergeCell ref="A1:H1"/>
  </mergeCells>
  <conditionalFormatting sqref="D3:D14">
    <cfRule type="cellIs" priority="1" operator="lessThan" dxfId="0">
      <formula>0.3</formula>
    </cfRule>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18"/>
  <sheetViews>
    <sheetView workbookViewId="0">
      <pane xSplit="1" ySplit="2" topLeftCell="B3" activePane="bottomRight" state="frozen"/>
      <selection pane="bottomRight" activeCell="A1" sqref="A1"/>
      <selection pane="bottomLeft" activeCell="A1" sqref="A1"/>
      <selection pane="topRight" activeCell="A1" sqref="A1"/>
    </sheetView>
  </sheetViews>
  <sheetFormatPr baseColWidth="8" defaultRowHeight="15"/>
  <cols>
    <col width="24.7109375" customWidth="1" min="1" max="1"/>
    <col width="16.7109375" customWidth="1" min="2" max="2"/>
    <col width="18.7109375" customWidth="1" min="3" max="3"/>
    <col width="20.7109375" customWidth="1" min="4" max="4"/>
    <col width="14.7109375" customWidth="1" min="5" max="5"/>
  </cols>
  <sheetData>
    <row r="1" ht="26.25" customHeight="1">
      <c r="A1" s="2" t="inlineStr">
        <is>
          <t>Rolling 12-Month Orders, Shipments and Backlog — Rain-X Wiper &amp; Glass Care Division (illustrative sample data)</t>
        </is>
      </c>
    </row>
    <row r="2" ht="33.75" customHeight="1">
      <c r="A2" s="3" t="inlineStr">
        <is>
          <t>Month</t>
        </is>
      </c>
      <c r="B2" s="3" t="inlineStr">
        <is>
          <t>Orders ($K)</t>
        </is>
      </c>
      <c r="C2" s="3" t="inlineStr">
        <is>
          <t>Shipments ($K)</t>
        </is>
      </c>
      <c r="D2" s="3" t="inlineStr">
        <is>
          <t>Ending Backlog ($K)</t>
        </is>
      </c>
      <c r="E2" s="3" t="inlineStr">
        <is>
          <t>Book-to-Bill</t>
        </is>
      </c>
    </row>
    <row r="3">
      <c r="A3" s="57" t="n">
        <v>45931</v>
      </c>
      <c r="B3" s="6" t="n">
        <v>29100</v>
      </c>
      <c r="C3" s="6" t="n">
        <v>28400</v>
      </c>
      <c r="D3" s="6">
        <f>$B$17+B3-C3</f>
        <v/>
      </c>
      <c r="E3" s="19">
        <f>B3/C3</f>
        <v/>
      </c>
    </row>
    <row r="4">
      <c r="A4" s="58" t="n">
        <v>45962</v>
      </c>
      <c r="B4" s="7" t="n">
        <v>27800</v>
      </c>
      <c r="C4" s="7" t="n">
        <v>28900</v>
      </c>
      <c r="D4" s="7">
        <f>D3+B4-C4</f>
        <v/>
      </c>
      <c r="E4" s="20">
        <f>B4/C4</f>
        <v/>
      </c>
    </row>
    <row r="5">
      <c r="A5" s="57" t="n">
        <v>45992</v>
      </c>
      <c r="B5" s="6" t="n">
        <v>31600</v>
      </c>
      <c r="C5" s="6" t="n">
        <v>30200</v>
      </c>
      <c r="D5" s="6">
        <f>D4+B5-C5</f>
        <v/>
      </c>
      <c r="E5" s="19">
        <f>B5/C5</f>
        <v/>
      </c>
    </row>
    <row r="6">
      <c r="A6" s="58" t="n">
        <v>46023</v>
      </c>
      <c r="B6" s="7" t="n">
        <v>26900</v>
      </c>
      <c r="C6" s="7" t="n">
        <v>27800</v>
      </c>
      <c r="D6" s="7">
        <f>D5+B6-C6</f>
        <v/>
      </c>
      <c r="E6" s="20">
        <f>B6/C6</f>
        <v/>
      </c>
    </row>
    <row r="7">
      <c r="A7" s="57" t="n">
        <v>46054</v>
      </c>
      <c r="B7" s="6" t="n">
        <v>28400</v>
      </c>
      <c r="C7" s="6" t="n">
        <v>27600</v>
      </c>
      <c r="D7" s="6">
        <f>D6+B7-C7</f>
        <v/>
      </c>
      <c r="E7" s="19">
        <f>B7/C7</f>
        <v/>
      </c>
    </row>
    <row r="8">
      <c r="A8" s="58" t="n">
        <v>46082</v>
      </c>
      <c r="B8" s="7" t="n">
        <v>32100</v>
      </c>
      <c r="C8" s="7" t="n">
        <v>30900</v>
      </c>
      <c r="D8" s="7">
        <f>D7+B8-C8</f>
        <v/>
      </c>
      <c r="E8" s="20">
        <f>B8/C8</f>
        <v/>
      </c>
    </row>
    <row r="9">
      <c r="A9" s="57" t="n">
        <v>46113</v>
      </c>
      <c r="B9" s="6" t="n">
        <v>30200</v>
      </c>
      <c r="C9" s="6" t="n">
        <v>29400</v>
      </c>
      <c r="D9" s="6">
        <f>D8+B9-C9</f>
        <v/>
      </c>
      <c r="E9" s="19">
        <f>B9/C9</f>
        <v/>
      </c>
    </row>
    <row r="10">
      <c r="A10" s="58" t="n">
        <v>46143</v>
      </c>
      <c r="B10" s="7" t="n">
        <v>29800</v>
      </c>
      <c r="C10" s="7" t="n">
        <v>30600</v>
      </c>
      <c r="D10" s="7">
        <f>D9+B10-C10</f>
        <v/>
      </c>
      <c r="E10" s="20">
        <f>B10/C10</f>
        <v/>
      </c>
    </row>
    <row r="11">
      <c r="A11" s="57" t="n">
        <v>46174</v>
      </c>
      <c r="B11" s="6" t="n">
        <v>33400</v>
      </c>
      <c r="C11" s="6" t="n">
        <v>31100</v>
      </c>
      <c r="D11" s="6">
        <f>D10+B11-C11</f>
        <v/>
      </c>
      <c r="E11" s="19">
        <f>B11/C11</f>
        <v/>
      </c>
    </row>
    <row r="12">
      <c r="A12" s="58" t="n">
        <v>46204</v>
      </c>
      <c r="B12" s="7" t="n">
        <v>28600</v>
      </c>
      <c r="C12" s="7" t="n">
        <v>29900</v>
      </c>
      <c r="D12" s="7">
        <f>D11+B12-C12</f>
        <v/>
      </c>
      <c r="E12" s="20">
        <f>B12/C12</f>
        <v/>
      </c>
    </row>
    <row r="13">
      <c r="A13" s="57" t="n">
        <v>46235</v>
      </c>
      <c r="B13" s="6" t="n">
        <v>30900</v>
      </c>
      <c r="C13" s="6" t="n">
        <v>29200</v>
      </c>
      <c r="D13" s="6">
        <f>D12+B13-C13</f>
        <v/>
      </c>
      <c r="E13" s="19">
        <f>B13/C13</f>
        <v/>
      </c>
    </row>
    <row r="14">
      <c r="A14" s="58" t="n">
        <v>46266</v>
      </c>
      <c r="B14" s="7" t="n">
        <v>27400</v>
      </c>
      <c r="C14" s="7" t="n">
        <v>29400</v>
      </c>
      <c r="D14" s="7">
        <f>D13+B14-C14</f>
        <v/>
      </c>
      <c r="E14" s="20">
        <f>B14/C14</f>
        <v/>
      </c>
    </row>
    <row r="15">
      <c r="A15" s="56" t="inlineStr">
        <is>
          <t>12-Month Total / Ending</t>
        </is>
      </c>
      <c r="B15" s="8">
        <f>SUM(B3:B14)</f>
        <v/>
      </c>
      <c r="C15" s="8">
        <f>SUM(C3:C14)</f>
        <v/>
      </c>
      <c r="D15" s="8">
        <f>D14</f>
        <v/>
      </c>
      <c r="E15" s="21">
        <f>B15/C15</f>
        <v/>
      </c>
    </row>
    <row r="16">
      <c r="A16" s="61" t="n"/>
      <c r="B16" s="61" t="n"/>
      <c r="C16" s="61" t="n"/>
      <c r="D16" s="61" t="n"/>
      <c r="E16" s="61" t="n"/>
    </row>
    <row r="17">
      <c r="A17" s="60" t="inlineStr">
        <is>
          <t>Opening backlog at Sep-25 ($K)</t>
        </is>
      </c>
      <c r="B17" s="22" t="n">
        <v>31200</v>
      </c>
      <c r="C17" s="61" t="n"/>
      <c r="D17" s="61" t="n"/>
      <c r="E17" s="61" t="n"/>
    </row>
    <row r="18">
      <c r="A18" s="60" t="inlineStr">
        <is>
          <t>Check: opening + orders - shipments - ending backlog (should be 0)</t>
        </is>
      </c>
      <c r="D18" s="23">
        <f>B17+B15-C15-D15</f>
        <v/>
      </c>
      <c r="E18" s="61" t="n"/>
    </row>
  </sheetData>
  <mergeCells count="2">
    <mergeCell ref="A18:C18"/>
    <mergeCell ref="A1:E1"/>
  </mergeCells>
  <conditionalFormatting sqref="E3:E14">
    <cfRule type="cellIs" priority="1" operator="lessThan" dxfId="1">
      <formula>1</formula>
    </cfRule>
  </conditionalFormatting>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H11"/>
  <sheetViews>
    <sheetView workbookViewId="0">
      <pane xSplit="1" ySplit="2" topLeftCell="B3" activePane="bottomRight" state="frozen"/>
      <selection pane="bottomRight" activeCell="A1" sqref="A1"/>
      <selection pane="bottomLeft" activeCell="A1" sqref="A1"/>
      <selection pane="topRight" activeCell="A1" sqref="A1"/>
    </sheetView>
  </sheetViews>
  <sheetFormatPr baseColWidth="8" defaultRowHeight="15"/>
  <cols>
    <col width="28.7109375" customWidth="1" min="1" max="1"/>
    <col width="13.7109375" customWidth="1" min="2" max="2"/>
    <col width="18.7109375" customWidth="1" min="3" max="4"/>
    <col width="20.7109375" customWidth="1" min="5" max="5"/>
    <col width="18.7109375" customWidth="1" min="6" max="6"/>
    <col width="20.7109375" customWidth="1" min="7" max="7"/>
    <col width="18.7109375" customWidth="1" min="8" max="8"/>
  </cols>
  <sheetData>
    <row r="1" ht="26.25" customHeight="1">
      <c r="A1" s="2" t="inlineStr">
        <is>
          <t>Q3 FY26 Talent, Attrition and Copilot Licensing by Function (illustrative sample data)</t>
        </is>
      </c>
    </row>
    <row r="2" ht="33.75" customHeight="1">
      <c r="A2" s="3" t="inlineStr">
        <is>
          <t>Function</t>
        </is>
      </c>
      <c r="B2" s="3" t="inlineStr">
        <is>
          <t>Headcount</t>
        </is>
      </c>
      <c r="C2" s="3" t="inlineStr">
        <is>
          <t>Open Requisitions</t>
        </is>
      </c>
      <c r="D2" s="3" t="inlineStr">
        <is>
          <t>Voluntary Attrition</t>
        </is>
      </c>
      <c r="E2" s="3" t="inlineStr">
        <is>
          <t>Average Tenure (yrs)</t>
        </is>
      </c>
      <c r="F2" s="3" t="inlineStr">
        <is>
          <t>Engagement Score</t>
        </is>
      </c>
      <c r="G2" s="3" t="inlineStr">
        <is>
          <t>Copilot Licensed Users</t>
        </is>
      </c>
      <c r="H2" s="3" t="inlineStr">
        <is>
          <t>Copilot Coverage %</t>
        </is>
      </c>
    </row>
    <row r="3">
      <c r="A3" s="61" t="inlineStr">
        <is>
          <t>Operations</t>
        </is>
      </c>
      <c r="B3" s="24" t="n">
        <v>1240</v>
      </c>
      <c r="C3" s="24" t="n">
        <v>62</v>
      </c>
      <c r="D3" s="9" t="n">
        <v>0.142</v>
      </c>
      <c r="E3" s="27" t="n">
        <v>6.8</v>
      </c>
      <c r="F3" s="30" t="n">
        <v>71</v>
      </c>
      <c r="G3" s="24" t="n">
        <v>180</v>
      </c>
      <c r="H3" s="9">
        <f>G3/B3</f>
        <v/>
      </c>
    </row>
    <row r="4">
      <c r="A4" s="4" t="inlineStr">
        <is>
          <t>Commercial &amp; Sales</t>
        </is>
      </c>
      <c r="B4" s="25" t="n">
        <v>186</v>
      </c>
      <c r="C4" s="25" t="n">
        <v>14</v>
      </c>
      <c r="D4" s="10" t="n">
        <v>0.098</v>
      </c>
      <c r="E4" s="28" t="n">
        <v>5.2</v>
      </c>
      <c r="F4" s="31" t="n">
        <v>78</v>
      </c>
      <c r="G4" s="25" t="n">
        <v>186</v>
      </c>
      <c r="H4" s="10">
        <f>G4/B4</f>
        <v/>
      </c>
    </row>
    <row r="5">
      <c r="A5" s="61" t="inlineStr">
        <is>
          <t>Engineering</t>
        </is>
      </c>
      <c r="B5" s="24" t="n">
        <v>148</v>
      </c>
      <c r="C5" s="24" t="n">
        <v>19</v>
      </c>
      <c r="D5" s="9" t="n">
        <v>0.07099999999999999</v>
      </c>
      <c r="E5" s="27" t="n">
        <v>8.4</v>
      </c>
      <c r="F5" s="30" t="n">
        <v>82</v>
      </c>
      <c r="G5" s="24" t="n">
        <v>148</v>
      </c>
      <c r="H5" s="9">
        <f>G5/B5</f>
        <v/>
      </c>
    </row>
    <row r="6">
      <c r="A6" s="4" t="inlineStr">
        <is>
          <t>Quality</t>
        </is>
      </c>
      <c r="B6" s="25" t="n">
        <v>96</v>
      </c>
      <c r="C6" s="25" t="n">
        <v>7</v>
      </c>
      <c r="D6" s="10" t="n">
        <v>0.083</v>
      </c>
      <c r="E6" s="28" t="n">
        <v>7.1</v>
      </c>
      <c r="F6" s="31" t="n">
        <v>76</v>
      </c>
      <c r="G6" s="25" t="n">
        <v>96</v>
      </c>
      <c r="H6" s="10">
        <f>G6/B6</f>
        <v/>
      </c>
    </row>
    <row r="7">
      <c r="A7" s="61" t="inlineStr">
        <is>
          <t>Supply Chain</t>
        </is>
      </c>
      <c r="B7" s="24" t="n">
        <v>112</v>
      </c>
      <c r="C7" s="24" t="n">
        <v>9</v>
      </c>
      <c r="D7" s="9" t="n">
        <v>0.115</v>
      </c>
      <c r="E7" s="27" t="n">
        <v>4.9</v>
      </c>
      <c r="F7" s="30" t="n">
        <v>69</v>
      </c>
      <c r="G7" s="24" t="n">
        <v>112</v>
      </c>
      <c r="H7" s="9">
        <f>G7/B7</f>
        <v/>
      </c>
    </row>
    <row r="8">
      <c r="A8" s="4" t="inlineStr">
        <is>
          <t>Finance</t>
        </is>
      </c>
      <c r="B8" s="25" t="n">
        <v>54</v>
      </c>
      <c r="C8" s="25" t="n">
        <v>3</v>
      </c>
      <c r="D8" s="10" t="n">
        <v>0.056</v>
      </c>
      <c r="E8" s="28" t="n">
        <v>9.300000000000001</v>
      </c>
      <c r="F8" s="31" t="n">
        <v>84</v>
      </c>
      <c r="G8" s="25" t="n">
        <v>54</v>
      </c>
      <c r="H8" s="10">
        <f>G8/B8</f>
        <v/>
      </c>
    </row>
    <row r="9">
      <c r="A9" s="61" t="inlineStr">
        <is>
          <t>Human Resources</t>
        </is>
      </c>
      <c r="B9" s="24" t="n">
        <v>28</v>
      </c>
      <c r="C9" s="24" t="n">
        <v>2</v>
      </c>
      <c r="D9" s="9" t="n">
        <v>0.061</v>
      </c>
      <c r="E9" s="27" t="n">
        <v>6.2</v>
      </c>
      <c r="F9" s="30" t="n">
        <v>80</v>
      </c>
      <c r="G9" s="24" t="n">
        <v>28</v>
      </c>
      <c r="H9" s="9">
        <f>G9/B9</f>
        <v/>
      </c>
    </row>
    <row r="10">
      <c r="A10" s="4" t="inlineStr">
        <is>
          <t>Information Technology</t>
        </is>
      </c>
      <c r="B10" s="25" t="n">
        <v>42</v>
      </c>
      <c r="C10" s="25" t="n">
        <v>5</v>
      </c>
      <c r="D10" s="10" t="n">
        <v>0.074</v>
      </c>
      <c r="E10" s="28" t="n">
        <v>5.6</v>
      </c>
      <c r="F10" s="31" t="n">
        <v>79</v>
      </c>
      <c r="G10" s="25" t="n">
        <v>42</v>
      </c>
      <c r="H10" s="10">
        <f>G10/B10</f>
        <v/>
      </c>
    </row>
    <row r="11">
      <c r="A11" s="5" t="inlineStr">
        <is>
          <t>Division Total / Weighted Avg</t>
        </is>
      </c>
      <c r="B11" s="26">
        <f>SUM(B3:B10)</f>
        <v/>
      </c>
      <c r="C11" s="26">
        <f>SUM(C3:C10)</f>
        <v/>
      </c>
      <c r="D11" s="11">
        <f>SUMPRODUCT(D3:D10,B3:B10)/B11</f>
        <v/>
      </c>
      <c r="E11" s="29">
        <f>SUMPRODUCT(E3:E10,B3:B10)/B11</f>
        <v/>
      </c>
      <c r="F11" s="32">
        <f>SUMPRODUCT(F3:F10,B3:B10)/B11</f>
        <v/>
      </c>
      <c r="G11" s="26">
        <f>SUM(G3:G10)</f>
        <v/>
      </c>
      <c r="H11" s="11">
        <f>G11/B11</f>
        <v/>
      </c>
    </row>
  </sheetData>
  <mergeCells count="1">
    <mergeCell ref="A1:H1"/>
  </mergeCells>
  <conditionalFormatting sqref="D3:D10">
    <cfRule type="cellIs" priority="1" operator="greaterThan" dxfId="0">
      <formula>0.1</formula>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33"/>
  <sheetViews>
    <sheetView workbookViewId="0">
      <pane ySplit="3" topLeftCell="A4" activePane="bottomLeft" state="frozen"/>
      <selection pane="bottomLeft" activeCell="A1" sqref="A1"/>
    </sheetView>
  </sheetViews>
  <sheetFormatPr baseColWidth="8" defaultRowHeight="15"/>
  <cols>
    <col width="46.7109375" customWidth="1" min="1" max="1"/>
    <col width="16.7109375" customWidth="1" min="2" max="2"/>
    <col width="62.7109375" customWidth="1" min="3" max="3"/>
    <col width="16.7109375" customWidth="1" min="4" max="4"/>
    <col width="42.7109375" customWidth="1" min="5" max="5"/>
  </cols>
  <sheetData>
    <row r="1" ht="26.25" customHeight="1">
      <c r="A1" s="2" t="inlineStr">
        <is>
          <t>Copilot Value &amp; Adoption Model — Rain-X Wiper &amp; Glass Care Division Leadership (illustrative assumptions)</t>
        </is>
      </c>
    </row>
    <row r="2">
      <c r="A2" s="61" t="n"/>
      <c r="B2" s="61" t="n"/>
      <c r="C2" s="61" t="n"/>
      <c r="D2" s="61" t="n"/>
      <c r="E2" s="61" t="n"/>
    </row>
    <row r="3">
      <c r="A3" s="33" t="inlineStr">
        <is>
          <t>Input assumption</t>
        </is>
      </c>
      <c r="B3" s="33" t="inlineStr">
        <is>
          <t>Value</t>
        </is>
      </c>
      <c r="C3" s="33" t="inlineStr">
        <is>
          <t>Unit and source</t>
        </is>
      </c>
      <c r="D3" s="61" t="n"/>
      <c r="E3" s="61" t="n"/>
    </row>
    <row r="4">
      <c r="A4" s="61" t="inlineStr">
        <is>
          <t>Leaders in scope</t>
        </is>
      </c>
      <c r="B4" s="35" t="n">
        <v>100</v>
      </c>
      <c r="C4" s="61" t="inlineStr">
        <is>
          <t>People · session audience size supplied by ITW</t>
        </is>
      </c>
      <c r="D4" s="61" t="n"/>
      <c r="E4" s="61" t="n"/>
    </row>
    <row r="5">
      <c r="A5" s="4" t="inlineStr">
        <is>
          <t>Total Copilot-licensed users in division</t>
        </is>
      </c>
      <c r="B5" s="36">
        <f>'Talent &amp; Headcount'!G11</f>
        <v/>
      </c>
      <c r="C5" s="4" t="inlineStr">
        <is>
          <t>People · linked from the Talent &amp; Headcount sheet</t>
        </is>
      </c>
      <c r="D5" s="61" t="n"/>
      <c r="E5" s="61" t="n"/>
    </row>
    <row r="6">
      <c r="A6" s="61" t="inlineStr">
        <is>
          <t>Hours saved per leader per week</t>
        </is>
      </c>
      <c r="B6" s="37" t="n">
        <v>3.5</v>
      </c>
      <c r="C6" s="61" t="inlineStr">
        <is>
          <t>Hours · PLACEHOLDER — replace with your own measured pulse-survey result</t>
        </is>
      </c>
      <c r="D6" s="61" t="n"/>
      <c r="E6" s="61" t="n"/>
    </row>
    <row r="7">
      <c r="A7" s="4" t="inlineStr">
        <is>
          <t>Hours saved per other licensed user per week</t>
        </is>
      </c>
      <c r="B7" s="38" t="n">
        <v>1.8</v>
      </c>
      <c r="C7" s="4" t="inlineStr">
        <is>
          <t>Hours · PLACEHOLDER — replace with your own measured pulse-survey result</t>
        </is>
      </c>
      <c r="D7" s="61" t="n"/>
      <c r="E7" s="61" t="n"/>
    </row>
    <row r="8">
      <c r="A8" s="61" t="inlineStr">
        <is>
          <t>Leader fully loaded cost rate</t>
        </is>
      </c>
      <c r="B8" s="22" t="n">
        <v>145</v>
      </c>
      <c r="C8" s="61" t="inlineStr">
        <is>
          <t>$ per hour · PLACEHOLDER — replace with ITW finance rate</t>
        </is>
      </c>
      <c r="D8" s="61" t="n"/>
      <c r="E8" s="61" t="n"/>
    </row>
    <row r="9">
      <c r="A9" s="4" t="inlineStr">
        <is>
          <t>Other employee fully loaded cost rate</t>
        </is>
      </c>
      <c r="B9" s="39" t="n">
        <v>78</v>
      </c>
      <c r="C9" s="4" t="inlineStr">
        <is>
          <t>$ per hour · PLACEHOLDER — replace with ITW finance rate</t>
        </is>
      </c>
      <c r="D9" s="61" t="n"/>
      <c r="E9" s="61" t="n"/>
    </row>
    <row r="10">
      <c r="A10" s="61" t="inlineStr">
        <is>
          <t>Productive working weeks per year</t>
        </is>
      </c>
      <c r="B10" s="35" t="n">
        <v>46</v>
      </c>
      <c r="C10" s="61" t="inlineStr">
        <is>
          <t>Weeks · 52 weeks less holiday and PTO</t>
        </is>
      </c>
      <c r="D10" s="61" t="n"/>
      <c r="E10" s="61" t="n"/>
    </row>
    <row r="11">
      <c r="A11" s="4" t="inlineStr">
        <is>
          <t>Adoption realization factor</t>
        </is>
      </c>
      <c r="B11" s="40" t="n">
        <v>0.65</v>
      </c>
      <c r="C11" s="4" t="inlineStr">
        <is>
          <t>% of theoretical saving actually realized · conservative planning assumption</t>
        </is>
      </c>
      <c r="D11" s="61" t="n"/>
      <c r="E11" s="61" t="n"/>
    </row>
    <row r="12">
      <c r="A12" s="61" t="inlineStr">
        <is>
          <t>License cost per user per month</t>
        </is>
      </c>
      <c r="B12" s="22" t="n">
        <v>30</v>
      </c>
      <c r="C12" s="61" t="inlineStr">
        <is>
          <t>$ per user per month · PLACEHOLDER — confirm ITW contracted rate</t>
        </is>
      </c>
      <c r="D12" s="61" t="n"/>
      <c r="E12" s="61" t="n"/>
    </row>
    <row r="13">
      <c r="A13" s="61" t="n"/>
      <c r="B13" s="61" t="n"/>
      <c r="C13" s="61" t="n"/>
      <c r="D13" s="61" t="n"/>
      <c r="E13" s="61" t="n"/>
    </row>
    <row r="14">
      <c r="A14" s="33" t="inlineStr">
        <is>
          <t>Calculated outcome</t>
        </is>
      </c>
      <c r="B14" s="33" t="inlineStr">
        <is>
          <t>Value</t>
        </is>
      </c>
      <c r="C14" s="33" t="inlineStr">
        <is>
          <t>How it is derived</t>
        </is>
      </c>
      <c r="D14" s="61" t="n"/>
      <c r="E14" s="61" t="n"/>
    </row>
    <row r="15">
      <c r="A15" s="61" t="inlineStr">
        <is>
          <t>Leader hours released per year</t>
        </is>
      </c>
      <c r="B15" s="24">
        <f>B4*B6*B10*B11</f>
        <v/>
      </c>
      <c r="C15" s="61" t="inlineStr">
        <is>
          <t>Leaders x hours per week x working weeks x realization factor</t>
        </is>
      </c>
      <c r="D15" s="61" t="n"/>
      <c r="E15" s="61" t="n"/>
    </row>
    <row r="16">
      <c r="A16" s="4" t="inlineStr">
        <is>
          <t>Other employee hours released per year</t>
        </is>
      </c>
      <c r="B16" s="25">
        <f>(B5-B4)*B7*B10*B11</f>
        <v/>
      </c>
      <c r="C16" s="4" t="inlineStr">
        <is>
          <t>(Licensed users less leaders) x hours per week x working weeks x realization factor</t>
        </is>
      </c>
      <c r="D16" s="61" t="n"/>
      <c r="E16" s="61" t="n"/>
    </row>
    <row r="17">
      <c r="A17" s="61" t="inlineStr">
        <is>
          <t>Total hours released per year</t>
        </is>
      </c>
      <c r="B17" s="24">
        <f>B15+B16</f>
        <v/>
      </c>
      <c r="C17" s="61" t="inlineStr">
        <is>
          <t>Leader hours plus other employee hours</t>
        </is>
      </c>
      <c r="D17" s="61" t="n"/>
      <c r="E17" s="61" t="n"/>
    </row>
    <row r="18">
      <c r="A18" s="4" t="inlineStr">
        <is>
          <t>Value of leader time released</t>
        </is>
      </c>
      <c r="B18" s="7">
        <f>B15*B8</f>
        <v/>
      </c>
      <c r="C18" s="4" t="inlineStr">
        <is>
          <t>Leader hours x leader loaded rate</t>
        </is>
      </c>
      <c r="D18" s="61" t="n"/>
      <c r="E18" s="61" t="n"/>
    </row>
    <row r="19">
      <c r="A19" s="61" t="inlineStr">
        <is>
          <t>Value of other employee time released</t>
        </is>
      </c>
      <c r="B19" s="6">
        <f>B16*B9</f>
        <v/>
      </c>
      <c r="C19" s="61" t="inlineStr">
        <is>
          <t>Employee hours x employee loaded rate</t>
        </is>
      </c>
      <c r="D19" s="61" t="n"/>
      <c r="E19" s="61" t="n"/>
    </row>
    <row r="20">
      <c r="A20" s="5" t="inlineStr">
        <is>
          <t>Gross annual value</t>
        </is>
      </c>
      <c r="B20" s="8">
        <f>B18+B19</f>
        <v/>
      </c>
      <c r="C20" s="5" t="inlineStr">
        <is>
          <t>Leader value plus employee value</t>
        </is>
      </c>
      <c r="D20" s="61" t="n"/>
      <c r="E20" s="61" t="n"/>
    </row>
    <row r="21">
      <c r="A21" s="4" t="inlineStr">
        <is>
          <t>Annual license cost</t>
        </is>
      </c>
      <c r="B21" s="7">
        <f>B5*B12*12</f>
        <v/>
      </c>
      <c r="C21" s="4" t="inlineStr">
        <is>
          <t>Licensed users x monthly cost x 12</t>
        </is>
      </c>
      <c r="D21" s="61" t="n"/>
      <c r="E21" s="61" t="n"/>
    </row>
    <row r="22">
      <c r="A22" s="5" t="inlineStr">
        <is>
          <t>Net annual value</t>
        </is>
      </c>
      <c r="B22" s="8">
        <f>B20-B21</f>
        <v/>
      </c>
      <c r="C22" s="5" t="inlineStr">
        <is>
          <t>Gross annual value less annual license cost</t>
        </is>
      </c>
      <c r="D22" s="61" t="n"/>
      <c r="E22" s="61" t="n"/>
    </row>
    <row r="23">
      <c r="A23" s="4" t="inlineStr">
        <is>
          <t>Return multiple on license spend</t>
        </is>
      </c>
      <c r="B23" s="41">
        <f>B20/B21</f>
        <v/>
      </c>
      <c r="C23" s="4" t="inlineStr">
        <is>
          <t>Gross annual value divided by annual license cost</t>
        </is>
      </c>
      <c r="D23" s="61" t="n"/>
      <c r="E23" s="61" t="n"/>
    </row>
    <row r="24">
      <c r="A24" s="61" t="inlineStr">
        <is>
          <t>Payback period</t>
        </is>
      </c>
      <c r="B24" s="27">
        <f>B21/(B20/12)</f>
        <v/>
      </c>
      <c r="C24" s="61" t="inlineStr">
        <is>
          <t>Annual license cost divided by average monthly gross value</t>
        </is>
      </c>
      <c r="D24" s="61" t="n"/>
      <c r="E24" s="61" t="n"/>
    </row>
    <row r="25">
      <c r="A25" s="4" t="inlineStr">
        <is>
          <t>Value released per leader per year</t>
        </is>
      </c>
      <c r="B25" s="42">
        <f>B18/B4</f>
        <v/>
      </c>
      <c r="C25" s="4" t="inlineStr">
        <is>
          <t>Value of leader time divided by leaders in scope</t>
        </is>
      </c>
      <c r="D25" s="61" t="n"/>
      <c r="E25" s="61" t="n"/>
    </row>
    <row r="26">
      <c r="A26" s="61" t="n"/>
      <c r="B26" s="61" t="n"/>
      <c r="C26" s="61" t="n"/>
      <c r="D26" s="61" t="n"/>
      <c r="E26" s="61" t="n"/>
    </row>
    <row r="27" ht="30" customHeight="1">
      <c r="A27" s="34" t="inlineStr">
        <is>
          <t>Leader adoption scorecard</t>
        </is>
      </c>
      <c r="B27" s="34" t="inlineStr">
        <is>
          <t>Baseline (Q3)</t>
        </is>
      </c>
      <c r="C27" s="34" t="inlineStr">
        <is>
          <t>30-day target</t>
        </is>
      </c>
      <c r="D27" s="34" t="inlineStr">
        <is>
          <t>90-day target</t>
        </is>
      </c>
      <c r="E27" s="34" t="inlineStr">
        <is>
          <t>Where the number comes from</t>
        </is>
      </c>
    </row>
    <row r="28">
      <c r="A28" s="61" t="inlineStr">
        <is>
          <t>Leaders using Copilot at least weekly</t>
        </is>
      </c>
      <c r="B28" s="43" t="n">
        <v>0.41</v>
      </c>
      <c r="C28" s="43" t="n">
        <v>0.75</v>
      </c>
      <c r="D28" s="43" t="n">
        <v>0.95</v>
      </c>
      <c r="E28" s="61" t="inlineStr">
        <is>
          <t>Microsoft 365 admin centre Copilot usage report</t>
        </is>
      </c>
    </row>
    <row r="29">
      <c r="A29" s="4" t="inlineStr">
        <is>
          <t>Leaders using an agent at least weekly</t>
        </is>
      </c>
      <c r="B29" s="44" t="n">
        <v>0.08</v>
      </c>
      <c r="C29" s="44" t="n">
        <v>0.35</v>
      </c>
      <c r="D29" s="44" t="n">
        <v>0.7</v>
      </c>
      <c r="E29" s="4" t="inlineStr">
        <is>
          <t>Agent usage reporting</t>
        </is>
      </c>
    </row>
    <row r="30">
      <c r="A30" s="61" t="inlineStr">
        <is>
          <t>Leadership meetings with a Copilot recap applied</t>
        </is>
      </c>
      <c r="B30" s="43" t="n">
        <v>0.22</v>
      </c>
      <c r="C30" s="43" t="n">
        <v>0.5</v>
      </c>
      <c r="D30" s="43" t="n">
        <v>0.8</v>
      </c>
      <c r="E30" s="61" t="inlineStr">
        <is>
          <t>Teams meeting reporting</t>
        </is>
      </c>
    </row>
    <row r="31">
      <c r="A31" s="4" t="inlineStr">
        <is>
          <t>Decision memos drafted with Copilot</t>
        </is>
      </c>
      <c r="B31" s="44" t="n">
        <v>0.05</v>
      </c>
      <c r="C31" s="44" t="n">
        <v>0.3</v>
      </c>
      <c r="D31" s="44" t="n">
        <v>0.6</v>
      </c>
      <c r="E31" s="4" t="inlineStr">
        <is>
          <t>Divisional decision log review</t>
        </is>
      </c>
    </row>
    <row r="32">
      <c r="A32" s="61" t="inlineStr">
        <is>
          <t>Leaders reporting more than 2 hours saved per week</t>
        </is>
      </c>
      <c r="B32" s="43" t="n">
        <v>0.18</v>
      </c>
      <c r="C32" s="43" t="n">
        <v>0.45</v>
      </c>
      <c r="D32" s="43" t="n">
        <v>0.75</v>
      </c>
      <c r="E32" s="61" t="inlineStr">
        <is>
          <t>Quarterly leadership pulse survey</t>
        </is>
      </c>
    </row>
    <row r="33">
      <c r="A33" s="4" t="inlineStr">
        <is>
          <t>Leaders who published a Copilot Page or Notebook</t>
        </is>
      </c>
      <c r="B33" s="44" t="n">
        <v>0.03</v>
      </c>
      <c r="C33" s="44" t="n">
        <v>0.25</v>
      </c>
      <c r="D33" s="44" t="n">
        <v>0.55</v>
      </c>
      <c r="E33" s="4" t="inlineStr">
        <is>
          <t>Copilot Pages usage reporting</t>
        </is>
      </c>
    </row>
  </sheetData>
  <mergeCells count="1">
    <mergeCell ref="A1:E1"/>
  </mergeCells>
  <pageMargins left="0.7" right="0.7" top="0.75" bottom="0.75" header="0.3" footer="0.3"/>
</worksheet>
</file>

<file path=docMetadata/LabelInfo.xml><?xml version="1.0" encoding="utf-8"?>
<clbl:labelList xmlns:clbl="http://schemas.microsoft.com/office/2020/mipLabelMetadata">
  <clbl:label id="{f42aa342-8706-4288-bd11-ebb85995028c}" enabled="1" method="Privileged" siteId="{72f988bf-86f1-41af-91ab-2d7cd011db47}" removed="0"/>
</clbl:labelLis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2026-09-02T22:15:36Z</dcterms:created>
  <dcterms:modified xmlns:dcterms="http://purl.org/dc/terms/" xmlns:xsi="http://www.w3.org/2001/XMLSchema-instance" xsi:type="dcterms:W3CDTF">2026-09-21T18:33:08Z</dcterms:modified>
  <cp:lastModifiedBy>i:0#.f|membership|bycast@microsoft.com</cp:lastModifiedBy>
</cp:coreProperties>
</file>