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docMetadata/LabelInfo.xml" ContentType="application/vnd.ms-office.classificationlabel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Id="rId4" Type="http://schemas.microsoft.com/office/2020/02/relationships/classificationlabels" Target="docMetadata/LabelInfo.xml" /></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README" sheetId="1" state="visible" r:id="rId1"/>
    <sheet xmlns:r="http://schemas.openxmlformats.org/officeDocument/2006/relationships" name="Formulation Register" sheetId="2" state="visible" r:id="rId2"/>
    <sheet xmlns:r="http://schemas.openxmlformats.org/officeDocument/2006/relationships" name="Exposure Summary" sheetId="3" state="visible" r:id="rId3"/>
    <sheet xmlns:r="http://schemas.openxmlformats.org/officeDocument/2006/relationships" name="Volume Exemption Test" sheetId="4" state="visible" r:id="rId4"/>
  </sheets>
  <definedNames/>
  <calcPr calcId="191028" fullCalcOnLoad="1"/>
</workbook>
</file>

<file path=xl/styles.xml><?xml version="1.0" encoding="utf-8"?>
<styleSheet xmlns="http://schemas.openxmlformats.org/spreadsheetml/2006/main">
  <numFmts count="3">
    <numFmt numFmtId="164" formatCode="&quot;$&quot;#,##0"/>
    <numFmt numFmtId="165" formatCode="&quot;$&quot;#,##0;\(&quot;$&quot;#,##0\);\-"/>
    <numFmt numFmtId="166" formatCode="0.0%"/>
  </numFmts>
  <fonts count="10">
    <font>
      <name val="Calibri"/>
      <family val="2"/>
      <color theme="1"/>
      <sz val="11"/>
      <scheme val="minor"/>
    </font>
    <font>
      <name val="Calibri"/>
      <color theme="1"/>
      <sz val="11"/>
    </font>
    <font>
      <name val="Calibri"/>
      <b val="1"/>
      <color theme="1"/>
      <sz val="11"/>
    </font>
    <font>
      <name val="Calibri"/>
      <b val="1"/>
      <color rgb="FFFFFFFF"/>
      <sz val="11"/>
    </font>
    <font>
      <name val="Calibri"/>
      <b val="1"/>
      <color rgb="FFFFFFFF"/>
      <sz val="14"/>
    </font>
    <font>
      <name val="Calibri"/>
      <i val="1"/>
      <color theme="1"/>
      <sz val="11"/>
    </font>
    <font>
      <name val="Calibri"/>
      <b val="1"/>
      <color rgb="FF0F172A"/>
      <sz val="11"/>
    </font>
    <font>
      <name val="Calibri"/>
      <color rgb="FF0000FF"/>
      <sz val="11"/>
    </font>
    <font>
      <name val="Calibri"/>
      <b val="1"/>
      <color rgb="FFFFFFFF"/>
      <sz val="15"/>
    </font>
    <font>
      <name val="Calibri"/>
      <b val="1"/>
      <color rgb="FF9B1C1C"/>
      <sz val="11"/>
    </font>
  </fonts>
  <fills count="7">
    <fill>
      <patternFill/>
    </fill>
    <fill>
      <patternFill patternType="gray125"/>
    </fill>
    <fill>
      <patternFill patternType="solid">
        <fgColor rgb="FF1F2A5C"/>
        <bgColor indexed="64"/>
      </patternFill>
    </fill>
    <fill>
      <patternFill patternType="solid">
        <fgColor rgb="FFEEF1F8"/>
        <bgColor indexed="64"/>
      </patternFill>
    </fill>
    <fill>
      <patternFill patternType="solid">
        <fgColor rgb="FFFDE2E1"/>
        <bgColor indexed="64"/>
      </patternFill>
    </fill>
    <fill>
      <patternFill patternType="solid">
        <fgColor rgb="FF4FD1C5"/>
        <bgColor indexed="64"/>
      </patternFill>
    </fill>
    <fill>
      <patternFill patternType="solid">
        <fgColor rgb="FFFEF3C7"/>
        <bgColor indexed="64"/>
      </patternFill>
    </fill>
  </fills>
  <borders count="1">
    <border>
      <left/>
      <right/>
      <top/>
      <bottom/>
      <diagonal/>
    </border>
  </borders>
  <cellStyleXfs count="1">
    <xf numFmtId="0" fontId="0" fillId="0" borderId="0"/>
  </cellStyleXfs>
  <cellXfs count="40">
    <xf numFmtId="0" fontId="0" fillId="0" borderId="0" pivotButton="0" quotePrefix="0" xfId="0"/>
    <xf numFmtId="0" fontId="1" fillId="0" borderId="0" pivotButton="0" quotePrefix="0" xfId="0"/>
    <xf numFmtId="0" fontId="4" fillId="2" borderId="0" applyAlignment="1" pivotButton="0" quotePrefix="0" xfId="0">
      <alignment vertical="center"/>
    </xf>
    <xf numFmtId="0" fontId="3" fillId="2" borderId="0" pivotButton="0" quotePrefix="0" xfId="0"/>
    <xf numFmtId="0" fontId="3" fillId="2" borderId="0" applyAlignment="1" pivotButton="0" quotePrefix="0" xfId="0">
      <alignment horizontal="center" wrapText="1"/>
    </xf>
    <xf numFmtId="0" fontId="1" fillId="3" borderId="0" pivotButton="0" quotePrefix="0" xfId="0"/>
    <xf numFmtId="3" fontId="1" fillId="0" borderId="0" applyAlignment="1" pivotButton="0" quotePrefix="0" xfId="0">
      <alignment horizontal="right"/>
    </xf>
    <xf numFmtId="3" fontId="1" fillId="3" borderId="0" applyAlignment="1" pivotButton="0" quotePrefix="0" xfId="0">
      <alignment horizontal="right"/>
    </xf>
    <xf numFmtId="164" fontId="1" fillId="0" borderId="0" applyAlignment="1" pivotButton="0" quotePrefix="0" xfId="0">
      <alignment horizontal="right"/>
    </xf>
    <xf numFmtId="164" fontId="1" fillId="3" borderId="0" applyAlignment="1" pivotButton="0" quotePrefix="0" xfId="0">
      <alignment horizontal="right"/>
    </xf>
    <xf numFmtId="10" fontId="1" fillId="0" borderId="0" applyAlignment="1" pivotButton="0" quotePrefix="0" xfId="0">
      <alignment horizontal="right"/>
    </xf>
    <xf numFmtId="10" fontId="1" fillId="3" borderId="0" applyAlignment="1" pivotButton="0" quotePrefix="0" xfId="0">
      <alignment horizontal="right"/>
    </xf>
    <xf numFmtId="165" fontId="1" fillId="0" borderId="0" applyAlignment="1" pivotButton="0" quotePrefix="0" xfId="0">
      <alignment horizontal="right"/>
    </xf>
    <xf numFmtId="165" fontId="1" fillId="3" borderId="0" applyAlignment="1" pivotButton="0" quotePrefix="0" xfId="0">
      <alignment horizontal="right"/>
    </xf>
    <xf numFmtId="0" fontId="5" fillId="4" borderId="0" applyAlignment="1" pivotButton="0" quotePrefix="0" xfId="0">
      <alignment vertical="top" wrapText="1"/>
    </xf>
    <xf numFmtId="0" fontId="3" fillId="2" borderId="0" applyAlignment="1" pivotButton="0" quotePrefix="0" xfId="0">
      <alignment wrapText="1"/>
    </xf>
    <xf numFmtId="0" fontId="6" fillId="5" borderId="0" pivotButton="0" quotePrefix="0" xfId="0"/>
    <xf numFmtId="3" fontId="6" fillId="5" borderId="0" applyAlignment="1" pivotButton="0" quotePrefix="0" xfId="0">
      <alignment horizontal="right"/>
    </xf>
    <xf numFmtId="164" fontId="6" fillId="5" borderId="0" pivotButton="0" quotePrefix="0" xfId="0"/>
    <xf numFmtId="164" fontId="6" fillId="5" borderId="0" applyAlignment="1" pivotButton="0" quotePrefix="0" xfId="0">
      <alignment horizontal="right"/>
    </xf>
    <xf numFmtId="166" fontId="1" fillId="0" borderId="0" applyAlignment="1" pivotButton="0" quotePrefix="0" xfId="0">
      <alignment horizontal="right"/>
    </xf>
    <xf numFmtId="166" fontId="1" fillId="3" borderId="0" applyAlignment="1" pivotButton="0" quotePrefix="0" xfId="0">
      <alignment horizontal="right"/>
    </xf>
    <xf numFmtId="166" fontId="6" fillId="5" borderId="0" applyAlignment="1" pivotButton="0" quotePrefix="0" xfId="0">
      <alignment horizontal="right"/>
    </xf>
    <xf numFmtId="3" fontId="7" fillId="0" borderId="0" applyAlignment="1" pivotButton="0" quotePrefix="0" xfId="0">
      <alignment horizontal="right"/>
    </xf>
    <xf numFmtId="0" fontId="1" fillId="0" borderId="0" applyAlignment="1" pivotButton="0" quotePrefix="0" xfId="0">
      <alignment horizontal="center"/>
    </xf>
    <xf numFmtId="0" fontId="1" fillId="3" borderId="0" applyAlignment="1" pivotButton="0" quotePrefix="0" xfId="0">
      <alignment horizontal="center"/>
    </xf>
    <xf numFmtId="0" fontId="5" fillId="0" borderId="0" applyAlignment="1" pivotButton="0" quotePrefix="0" xfId="0">
      <alignment vertical="top" wrapText="1"/>
    </xf>
    <xf numFmtId="0" fontId="1" fillId="0" borderId="0" applyAlignment="1" pivotButton="0" quotePrefix="0" xfId="0">
      <alignment vertical="top"/>
    </xf>
    <xf numFmtId="0" fontId="8" fillId="2" borderId="0" applyAlignment="1" pivotButton="0" quotePrefix="0" xfId="0">
      <alignment vertical="center"/>
    </xf>
    <xf numFmtId="0" fontId="9" fillId="4" borderId="0" applyAlignment="1" pivotButton="0" quotePrefix="0" xfId="0">
      <alignment vertical="center" wrapText="1"/>
    </xf>
    <xf numFmtId="0" fontId="1" fillId="0" borderId="0" applyAlignment="1" pivotButton="0" quotePrefix="0" xfId="0">
      <alignment vertical="center" wrapText="1"/>
    </xf>
    <xf numFmtId="0" fontId="2" fillId="0" borderId="0" applyAlignment="1" pivotButton="0" quotePrefix="0" xfId="0">
      <alignment vertical="top"/>
    </xf>
    <xf numFmtId="0" fontId="3" fillId="2" borderId="0" applyAlignment="1" pivotButton="0" quotePrefix="0" xfId="0">
      <alignment vertical="top"/>
    </xf>
    <xf numFmtId="0" fontId="1" fillId="0" borderId="0" applyAlignment="1" pivotButton="0" quotePrefix="0" xfId="0">
      <alignment vertical="top" wrapText="1"/>
    </xf>
    <xf numFmtId="0" fontId="1" fillId="3" borderId="0" applyAlignment="1" pivotButton="0" quotePrefix="0" xfId="0">
      <alignment vertical="top" wrapText="1"/>
    </xf>
    <xf numFmtId="0" fontId="3" fillId="2" borderId="0" applyAlignment="1" pivotButton="0" quotePrefix="0" xfId="0">
      <alignment vertical="top"/>
    </xf>
    <xf numFmtId="0" fontId="1" fillId="6" borderId="0" applyAlignment="1" pivotButton="0" quotePrefix="0" xfId="0">
      <alignment vertical="top" wrapText="1"/>
    </xf>
    <xf numFmtId="0" fontId="2" fillId="3" borderId="0" applyAlignment="1" pivotButton="0" quotePrefix="0" xfId="0">
      <alignment vertical="top"/>
    </xf>
    <xf numFmtId="0" fontId="1" fillId="3" borderId="0" applyAlignment="1" pivotButton="0" quotePrefix="0" xfId="0">
      <alignment vertical="top"/>
    </xf>
    <xf numFmtId="164" fontId="6" fillId="5" borderId="0" pivotButton="0" quotePrefix="0" xfId="0"/>
  </cellXfs>
  <cellStyles count="1">
    <cellStyle name="Normal" xfId="0" builtinId="0"/>
  </cellStyles>
  <dxfs count="3">
    <dxf>
      <font>
        <b val="1"/>
        <color rgb="FF0B6E66"/>
      </font>
      <fill>
        <patternFill patternType="solid">
          <fgColor indexed="64"/>
          <bgColor rgb="FFE4F6F4"/>
        </patternFill>
      </fill>
    </dxf>
    <dxf>
      <font>
        <b val="1"/>
        <color rgb="FF92400E"/>
      </font>
      <fill>
        <patternFill patternType="solid">
          <fgColor indexed="64"/>
          <bgColor rgb="FFFEF3C7"/>
        </patternFill>
      </fill>
    </dxf>
    <dxf>
      <font>
        <b val="1"/>
        <color rgb="FF9B1C1C"/>
      </font>
      <fill>
        <patternFill patternType="solid">
          <fgColor indexed="64"/>
          <bgColor rgb="FFFDE2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4" topLeftCell="A5" activePane="bottomLeft" state="frozen"/>
      <selection pane="bottomLeft" activeCell="A1" sqref="A1"/>
    </sheetView>
  </sheetViews>
  <sheetFormatPr baseColWidth="8" defaultRowHeight="15"/>
  <cols>
    <col width="26.7109375" customWidth="1" min="1" max="1"/>
    <col width="58.7109375" customWidth="1" min="2" max="2"/>
    <col width="52.7109375" customWidth="1" min="3" max="3"/>
  </cols>
  <sheetData>
    <row r="1" ht="30" customHeight="1">
      <c r="A1" s="28" t="inlineStr">
        <is>
          <t>Rain-X Wiper &amp; Glass Care Division — Product Formulation Register and Regulatory Exposure</t>
        </is>
      </c>
    </row>
    <row r="2" ht="50.25" customHeight="1">
      <c r="A2" s="29" t="inlineStr">
        <is>
          <t>TRAINING SAMPLE. Every product, plant, substance, regulator and figure in this workbook is fictional and was created for a Microsoft 365 Copilot enablement session. It is not ITW data, the ICHB does not exist, and nothing here may be used for any regulatory or business decision.</t>
        </is>
      </c>
    </row>
    <row r="3">
      <c r="A3" s="27" t="n"/>
      <c r="B3" s="27" t="n"/>
      <c r="C3" s="27" t="n"/>
    </row>
    <row r="4" ht="50.25" customHeight="1">
      <c r="A4" s="30" t="inlineStr">
        <is>
          <t>Purpose: this workbook is the data half of the compliance exercise. It pairs with the sample regulatory bulletin and the sample safety data sheets. Leaders point Copilot at all three and ask which products are affected by a threshold change, which are not, and which cannot be determined from the documents they hold.</t>
        </is>
      </c>
    </row>
    <row r="5">
      <c r="A5" s="27" t="n"/>
      <c r="B5" s="27" t="n"/>
      <c r="C5" s="27" t="n"/>
    </row>
    <row r="6">
      <c r="A6" s="35" t="inlineStr">
        <is>
          <t>Sheet</t>
        </is>
      </c>
      <c r="B6" s="35" t="inlineStr">
        <is>
          <t>What it holds</t>
        </is>
      </c>
      <c r="C6" s="35" t="inlineStr">
        <is>
          <t>What to ask Copilot about it</t>
        </is>
      </c>
    </row>
    <row r="7" ht="45.75" customHeight="1">
      <c r="A7" s="33" t="inlineStr">
        <is>
          <t>Formulation Register</t>
        </is>
      </c>
      <c r="B7" s="33" t="inlineStr">
        <is>
          <t>Eight products with composition, volume, revenue, reformulation feasibility and cost, plus a status column against the new threshold.</t>
        </is>
      </c>
      <c r="C7" s="33" t="inlineStr">
        <is>
          <t>Which products are affected, and what revenue sits behind each status.</t>
        </is>
      </c>
    </row>
    <row r="8" ht="39.75" customHeight="1">
      <c r="A8" s="34" t="inlineStr">
        <is>
          <t>Exposure Summary</t>
        </is>
      </c>
      <c r="B8" s="34" t="inlineStr">
        <is>
          <t>Live roll-up of products and revenue by status, total reformulation cost, and a breakdown by feasibility.</t>
        </is>
      </c>
      <c r="C8" s="34" t="inlineStr">
        <is>
          <t>What is the total exposure, and what share of it is genuinely uncertain.</t>
        </is>
      </c>
    </row>
    <row r="9" ht="39.75" customHeight="1">
      <c r="A9" s="33" t="inlineStr">
        <is>
          <t>Volume Exemption Test</t>
        </is>
      </c>
      <c r="B9" s="33" t="inlineStr">
        <is>
          <t>A model testing each product against the bulletin's low-volume exemption ceiling, with the ceiling as a changeable input.</t>
        </is>
      </c>
      <c r="C9" s="33" t="inlineStr">
        <is>
          <t>Which exemptions are worth claiming, and what happens if the ceiling moves.</t>
        </is>
      </c>
    </row>
    <row r="10">
      <c r="A10" s="27" t="n"/>
      <c r="B10" s="27" t="n"/>
      <c r="C10" s="27" t="n"/>
    </row>
    <row r="11">
      <c r="A11" s="35" t="inlineStr">
        <is>
          <t>Two things are planted here on purpose</t>
        </is>
      </c>
    </row>
    <row r="12" ht="39.75" customHeight="1">
      <c r="A12" s="36" t="inlineStr">
        <is>
          <t>1. Rain-X De-Icer Washer Fluid (WF-1200) cannot be classified. Its safety data sheet gives a range of 0.05 to 0.30 percent, which straddles the 0.1 percent threshold, so no honest answer exists without a batch assay. A good answer says so instead of picking a side.</t>
        </is>
      </c>
    </row>
    <row r="13" ht="39.75" customHeight="1">
      <c r="A13" s="36" t="inlineStr">
        <is>
          <t>2. Rain-X Bug &amp; Tar Washer Fluid (WF-1800) is contradicted. This register records 0.04 percent; its safety data sheet records 0.40 percent. One says the product is clear, the other says it is affected. Finding that disagreement is the point of the exercise.</t>
        </is>
      </c>
    </row>
    <row r="14">
      <c r="A14" s="27" t="n"/>
      <c r="B14" s="27" t="n"/>
      <c r="C14" s="27" t="n"/>
    </row>
    <row r="15">
      <c r="A15" s="35" t="inlineStr">
        <is>
          <t>Colour legend</t>
        </is>
      </c>
      <c r="B15" s="35" t="n"/>
      <c r="C15" s="35" t="n"/>
    </row>
    <row r="16">
      <c r="A16" s="31" t="inlineStr">
        <is>
          <t>Blue text</t>
        </is>
      </c>
      <c r="B16" s="27" t="inlineStr">
        <is>
          <t>An input you can change to run a scenario</t>
        </is>
      </c>
      <c r="C16" s="27" t="n"/>
    </row>
    <row r="17">
      <c r="A17" s="37" t="inlineStr">
        <is>
          <t>Black text</t>
        </is>
      </c>
      <c r="B17" s="38" t="inlineStr">
        <is>
          <t>A live formula that recalculates when an input changes</t>
        </is>
      </c>
      <c r="C17" s="38" t="n"/>
    </row>
    <row r="18">
      <c r="A18" s="31" t="inlineStr">
        <is>
          <t>Red fill</t>
        </is>
      </c>
      <c r="B18" s="27" t="inlineStr">
        <is>
          <t>Affected, or a note about a data problem</t>
        </is>
      </c>
      <c r="C18" s="27" t="n"/>
    </row>
    <row r="19">
      <c r="A19" s="37" t="inlineStr">
        <is>
          <t>Amber fill</t>
        </is>
      </c>
      <c r="B19" s="38" t="inlineStr">
        <is>
          <t>Status cannot be determined from the documents supplied</t>
        </is>
      </c>
      <c r="C19" s="38" t="n"/>
    </row>
    <row r="20">
      <c r="A20" s="31" t="inlineStr">
        <is>
          <t>Teal fill</t>
        </is>
      </c>
      <c r="B20" s="27" t="inlineStr">
        <is>
          <t>A total or headline outcome</t>
        </is>
      </c>
      <c r="C20" s="27" t="n"/>
    </row>
  </sheetData>
  <mergeCells count="6">
    <mergeCell ref="A13:C13"/>
    <mergeCell ref="A11:C11"/>
    <mergeCell ref="A1:C1"/>
    <mergeCell ref="A12:C12"/>
    <mergeCell ref="A4:C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pane xSplit="2" ySplit="2" topLeftCell="C3" activePane="bottomRight" state="frozen"/>
      <selection pane="bottomRight" activeCell="A1" sqref="A1"/>
      <selection pane="bottomLeft" activeCell="A1" sqref="A1"/>
      <selection pane="topRight" activeCell="A1" sqref="A1"/>
    </sheetView>
  </sheetViews>
  <sheetFormatPr baseColWidth="8" defaultRowHeight="15"/>
  <cols>
    <col width="24.7109375" customWidth="1" min="1" max="1"/>
    <col width="13.7109375" customWidth="1" min="2" max="2"/>
    <col width="21.7109375" customWidth="1" min="3" max="3"/>
    <col width="22.7109375" customWidth="1" min="4" max="4"/>
    <col width="17.7109375" customWidth="1" min="5" max="5"/>
    <col width="18.7109375" customWidth="1" min="6" max="6"/>
    <col width="15.7109375" customWidth="1" min="7" max="7"/>
    <col width="17.7109375" customWidth="1" min="8" max="8"/>
    <col width="20.7109375" customWidth="1" min="9" max="11"/>
    <col width="22.7109375" customWidth="1" min="12" max="12"/>
    <col width="17.7109375" customWidth="1" min="13" max="13"/>
  </cols>
  <sheetData>
    <row r="1" ht="26.25" customHeight="1">
      <c r="A1" s="2" t="inlineStr">
        <is>
          <t>Rain-X Wiper &amp; Glass Care Division — Product Formulation Register (illustrative sample data)</t>
        </is>
      </c>
    </row>
    <row r="2" ht="45.75" customHeight="1">
      <c r="A2" s="4" t="inlineStr">
        <is>
          <t>Product Name</t>
        </is>
      </c>
      <c r="B2" s="4" t="inlineStr">
        <is>
          <t>Product Code</t>
        </is>
      </c>
      <c r="C2" s="4" t="inlineStr">
        <is>
          <t>Product Line</t>
        </is>
      </c>
      <c r="D2" s="4" t="inlineStr">
        <is>
          <t>Manufacturing Plant</t>
        </is>
      </c>
      <c r="E2" s="4" t="inlineStr">
        <is>
          <t>Annual Volume (kg)</t>
        </is>
      </c>
      <c r="F2" s="4" t="inlineStr">
        <is>
          <t>Annual Revenue ($K)</t>
        </is>
      </c>
      <c r="G2" s="4" t="inlineStr">
        <is>
          <t>ICHB-2291 Content (%)</t>
        </is>
      </c>
      <c r="H2" s="4" t="inlineStr">
        <is>
          <t>Other Regulated Content (%)</t>
        </is>
      </c>
      <c r="I2" s="4" t="inlineStr">
        <is>
          <t>Reformulation Feasibility</t>
        </is>
      </c>
      <c r="J2" s="4" t="inlineStr">
        <is>
          <t>Estimated Reformulation Cost ($K)</t>
        </is>
      </c>
      <c r="K2" s="4" t="inlineStr">
        <is>
          <t>Customer Approvals Required</t>
        </is>
      </c>
      <c r="L2" s="4" t="inlineStr">
        <is>
          <t>ICHB-2291 Status vs 0.1% Threshold</t>
        </is>
      </c>
      <c r="M2" s="4" t="inlineStr">
        <is>
          <t>Revenue at Risk ($K)</t>
        </is>
      </c>
    </row>
    <row r="3">
      <c r="A3" s="1" t="inlineStr">
        <is>
          <t>Rain-X Latitude Beam Blade</t>
        </is>
      </c>
      <c r="B3" s="1" t="inlineStr">
        <is>
          <t>WB-4400</t>
        </is>
      </c>
      <c r="C3" s="1" t="inlineStr">
        <is>
          <t>Wiper Blades - Premium</t>
        </is>
      </c>
      <c r="D3" s="1" t="inlineStr">
        <is>
          <t>Elgin Blade Works</t>
        </is>
      </c>
      <c r="E3" s="6" t="n">
        <v>620000</v>
      </c>
      <c r="F3" s="8" t="n">
        <v>2840</v>
      </c>
      <c r="G3" s="10" t="n">
        <v>0.0062</v>
      </c>
      <c r="H3" s="10" t="n">
        <v>0.014</v>
      </c>
      <c r="I3" s="1" t="inlineStr">
        <is>
          <t>Medium</t>
        </is>
      </c>
      <c r="J3" s="12" t="n">
        <v>340</v>
      </c>
      <c r="K3" s="1" t="inlineStr">
        <is>
          <t>Yes</t>
        </is>
      </c>
      <c r="L3" s="1" t="inlineStr">
        <is>
          <t>Affected</t>
        </is>
      </c>
      <c r="M3" s="12">
        <f>IF(L3="Not affected",0,F3)</f>
        <v/>
      </c>
    </row>
    <row r="4">
      <c r="A4" s="5" t="inlineStr">
        <is>
          <t>Rain-X WeatherBeater Blade</t>
        </is>
      </c>
      <c r="B4" s="5" t="inlineStr">
        <is>
          <t>WB-2100</t>
        </is>
      </c>
      <c r="C4" s="5" t="inlineStr">
        <is>
          <t>Wiper Blades - Conventional</t>
        </is>
      </c>
      <c r="D4" s="5" t="inlineStr">
        <is>
          <t>Gdansk Blade Works</t>
        </is>
      </c>
      <c r="E4" s="7" t="n">
        <v>410000</v>
      </c>
      <c r="F4" s="9" t="n">
        <v>1960</v>
      </c>
      <c r="G4" s="11" t="n">
        <v>0.0004</v>
      </c>
      <c r="H4" s="11" t="n">
        <v>0.008999999999999999</v>
      </c>
      <c r="I4" s="5" t="inlineStr">
        <is>
          <t>Not required</t>
        </is>
      </c>
      <c r="J4" s="13" t="n">
        <v>0</v>
      </c>
      <c r="K4" s="5" t="inlineStr">
        <is>
          <t>No</t>
        </is>
      </c>
      <c r="L4" s="5" t="inlineStr">
        <is>
          <t>Not affected</t>
        </is>
      </c>
      <c r="M4" s="13">
        <f>IF(L4="Not affected",0,F4)</f>
        <v/>
      </c>
    </row>
    <row r="5">
      <c r="A5" s="1" t="inlineStr">
        <is>
          <t>Rain-X All-Season Washer Fluid</t>
        </is>
      </c>
      <c r="B5" s="1" t="inlineStr">
        <is>
          <t>WF-7710</t>
        </is>
      </c>
      <c r="C5" s="1" t="inlineStr">
        <is>
          <t>Washer Fluids</t>
        </is>
      </c>
      <c r="D5" s="1" t="inlineStr">
        <is>
          <t>Rockford Fluids</t>
        </is>
      </c>
      <c r="E5" s="6" t="n">
        <v>890000</v>
      </c>
      <c r="F5" s="8" t="n">
        <v>3150</v>
      </c>
      <c r="G5" s="10" t="n">
        <v>0.0038</v>
      </c>
      <c r="H5" s="10" t="n">
        <v>0.021</v>
      </c>
      <c r="I5" s="1" t="inlineStr">
        <is>
          <t>High</t>
        </is>
      </c>
      <c r="J5" s="12" t="n">
        <v>180</v>
      </c>
      <c r="K5" s="1" t="inlineStr">
        <is>
          <t>No</t>
        </is>
      </c>
      <c r="L5" s="1" t="inlineStr">
        <is>
          <t>Affected</t>
        </is>
      </c>
      <c r="M5" s="12">
        <f>IF(L5="Not affected",0,F5)</f>
        <v/>
      </c>
    </row>
    <row r="6">
      <c r="A6" s="5" t="inlineStr">
        <is>
          <t>Rain-X Original Glass Treatment</t>
        </is>
      </c>
      <c r="B6" s="5" t="inlineStr">
        <is>
          <t>GT-9000</t>
        </is>
      </c>
      <c r="C6" s="5" t="inlineStr">
        <is>
          <t>Glass Treatments</t>
        </is>
      </c>
      <c r="D6" s="5" t="inlineStr">
        <is>
          <t>Greenville Glass Care</t>
        </is>
      </c>
      <c r="E6" s="7" t="n">
        <v>265000</v>
      </c>
      <c r="F6" s="9" t="n">
        <v>1420</v>
      </c>
      <c r="G6" s="11" t="n">
        <v>0</v>
      </c>
      <c r="H6" s="11" t="n">
        <v>0.0055</v>
      </c>
      <c r="I6" s="5" t="inlineStr">
        <is>
          <t>Not required</t>
        </is>
      </c>
      <c r="J6" s="13" t="n">
        <v>0</v>
      </c>
      <c r="K6" s="5" t="inlineStr">
        <is>
          <t>No</t>
        </is>
      </c>
      <c r="L6" s="5" t="inlineStr">
        <is>
          <t>Not affected</t>
        </is>
      </c>
      <c r="M6" s="13">
        <f>IF(L6="Not affected",0,F6)</f>
        <v/>
      </c>
    </row>
    <row r="7">
      <c r="A7" s="1" t="inlineStr">
        <is>
          <t>Rain-X De-Icer Washer Fluid</t>
        </is>
      </c>
      <c r="B7" s="1" t="inlineStr">
        <is>
          <t>WF-1200</t>
        </is>
      </c>
      <c r="C7" s="1" t="inlineStr">
        <is>
          <t>Winter &amp; De-Icer Fluids</t>
        </is>
      </c>
      <c r="D7" s="1" t="inlineStr">
        <is>
          <t>Suzhou Wiper Components</t>
        </is>
      </c>
      <c r="E7" s="6" t="n">
        <v>540000</v>
      </c>
      <c r="F7" s="8" t="n">
        <v>2270</v>
      </c>
      <c r="G7" s="10" t="n">
        <v>0</v>
      </c>
      <c r="H7" s="10" t="n">
        <v>0.018</v>
      </c>
      <c r="I7" s="1" t="inlineStr">
        <is>
          <t>Medium</t>
        </is>
      </c>
      <c r="J7" s="12" t="n">
        <v>260</v>
      </c>
      <c r="K7" s="1" t="inlineStr">
        <is>
          <t>No</t>
        </is>
      </c>
      <c r="L7" s="1" t="inlineStr">
        <is>
          <t>Cannot be determined</t>
        </is>
      </c>
      <c r="M7" s="12">
        <f>IF(L7="Not affected",0,F7)</f>
        <v/>
      </c>
    </row>
    <row r="8">
      <c r="A8" s="5" t="inlineStr">
        <is>
          <t>Rain-X Endura HD Blade</t>
        </is>
      </c>
      <c r="B8" s="5" t="inlineStr">
        <is>
          <t>WB-6300</t>
        </is>
      </c>
      <c r="C8" s="5" t="inlineStr">
        <is>
          <t>Wiper Refills &amp; Accessories</t>
        </is>
      </c>
      <c r="D8" s="5" t="inlineStr">
        <is>
          <t>Monterrey Blade Assembly</t>
        </is>
      </c>
      <c r="E8" s="7" t="n">
        <v>118000</v>
      </c>
      <c r="F8" s="9" t="n">
        <v>4180</v>
      </c>
      <c r="G8" s="11" t="n">
        <v>0.0091</v>
      </c>
      <c r="H8" s="11" t="n">
        <v>0.012</v>
      </c>
      <c r="I8" s="5" t="inlineStr">
        <is>
          <t>Low</t>
        </is>
      </c>
      <c r="J8" s="13" t="n">
        <v>720</v>
      </c>
      <c r="K8" s="5" t="inlineStr">
        <is>
          <t>Yes</t>
        </is>
      </c>
      <c r="L8" s="5" t="inlineStr">
        <is>
          <t>Affected</t>
        </is>
      </c>
      <c r="M8" s="13">
        <f>IF(L8="Not affected",0,F8)</f>
        <v/>
      </c>
    </row>
    <row r="9">
      <c r="A9" s="1" t="inlineStr">
        <is>
          <t>Rain-X Silicone Wiper Refill</t>
        </is>
      </c>
      <c r="B9" s="1" t="inlineStr">
        <is>
          <t>WR-5500</t>
        </is>
      </c>
      <c r="C9" s="1" t="inlineStr">
        <is>
          <t>Wiper Refills &amp; Accessories</t>
        </is>
      </c>
      <c r="D9" s="1" t="inlineStr">
        <is>
          <t>Gdansk Blade Works</t>
        </is>
      </c>
      <c r="E9" s="6" t="n">
        <v>240000</v>
      </c>
      <c r="F9" s="8" t="n">
        <v>1090</v>
      </c>
      <c r="G9" s="10" t="n">
        <v>0.0002</v>
      </c>
      <c r="H9" s="10" t="n">
        <v>0.007</v>
      </c>
      <c r="I9" s="1" t="inlineStr">
        <is>
          <t>Not required</t>
        </is>
      </c>
      <c r="J9" s="12" t="n">
        <v>0</v>
      </c>
      <c r="K9" s="1" t="inlineStr">
        <is>
          <t>No</t>
        </is>
      </c>
      <c r="L9" s="1" t="inlineStr">
        <is>
          <t>Not affected</t>
        </is>
      </c>
      <c r="M9" s="12">
        <f>IF(L9="Not affected",0,F9)</f>
        <v/>
      </c>
    </row>
    <row r="10">
      <c r="A10" s="5" t="inlineStr">
        <is>
          <t>Rain-X Bug &amp; Tar Washer Fluid</t>
        </is>
      </c>
      <c r="B10" s="5" t="inlineStr">
        <is>
          <t>WF-1800</t>
        </is>
      </c>
      <c r="C10" s="5" t="inlineStr">
        <is>
          <t>Washer Fluids</t>
        </is>
      </c>
      <c r="D10" s="5" t="inlineStr">
        <is>
          <t>Elgin Blade Works</t>
        </is>
      </c>
      <c r="E10" s="7" t="n">
        <v>310000</v>
      </c>
      <c r="F10" s="9" t="n">
        <v>1730</v>
      </c>
      <c r="G10" s="11" t="n">
        <v>0.0004</v>
      </c>
      <c r="H10" s="11" t="n">
        <v>0.016</v>
      </c>
      <c r="I10" s="5" t="inlineStr">
        <is>
          <t>High</t>
        </is>
      </c>
      <c r="J10" s="13" t="n">
        <v>145</v>
      </c>
      <c r="K10" s="5" t="inlineStr">
        <is>
          <t>No</t>
        </is>
      </c>
      <c r="L10" s="5" t="inlineStr">
        <is>
          <t>Cannot be determined</t>
        </is>
      </c>
      <c r="M10" s="13">
        <f>IF(L10="Not affected",0,F10)</f>
        <v/>
      </c>
    </row>
    <row r="11">
      <c r="A11" s="1" t="n"/>
      <c r="B11" s="1" t="n"/>
      <c r="C11" s="1" t="n"/>
      <c r="D11" s="1" t="n"/>
      <c r="E11" s="1" t="n"/>
      <c r="F11" s="1" t="n"/>
      <c r="G11" s="1" t="n"/>
      <c r="H11" s="1" t="n"/>
      <c r="I11" s="1" t="n"/>
      <c r="J11" s="1" t="n"/>
      <c r="K11" s="1" t="n"/>
      <c r="L11" s="1" t="n"/>
      <c r="M11" s="1" t="n"/>
    </row>
    <row r="12" ht="32.25" customHeight="1">
      <c r="A12" s="14" t="inlineStr">
        <is>
          <t>Note on Rain-X De-Icer Washer Fluid (WF-1200): the safety data sheet states ICHB-2291 content as a range of 0.05 to 0.30 percent, which straddles the new threshold. This register records 0 because no single figure was supplied. Status cannot be determined without a batch assay.</t>
        </is>
      </c>
    </row>
    <row r="13" ht="32.25" customHeight="1">
      <c r="A13" s="14" t="inlineStr">
        <is>
          <t>Note on Rain-X Bug &amp; Tar Washer Fluid (WF-1800): this register records 0.04 percent. The safety data sheet for the same product states 0.40 percent. The two documents disagree and the discrepancy has not been reconciled.</t>
        </is>
      </c>
    </row>
  </sheetData>
  <mergeCells count="3">
    <mergeCell ref="A13:M13"/>
    <mergeCell ref="A1:M1"/>
    <mergeCell ref="A12:M12"/>
  </mergeCells>
  <conditionalFormatting sqref="L3:L10">
    <cfRule type="containsText" priority="1" operator="containsText" dxfId="2" text="Affected">
      <formula>NOT(ISERROR(SEARCH("Affected",L3)))</formula>
    </cfRule>
    <cfRule type="containsText" priority="2" operator="containsText" dxfId="1" text="Cannot">
      <formula>NOT(ISERROR(SEARCH("Cannot",L3)))</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19"/>
  <sheetViews>
    <sheetView workbookViewId="0">
      <pane ySplit="3" topLeftCell="A4" activePane="bottomLeft" state="frozen"/>
      <selection pane="bottomLeft" activeCell="A1" sqref="A1"/>
    </sheetView>
  </sheetViews>
  <sheetFormatPr baseColWidth="8" defaultRowHeight="15"/>
  <cols>
    <col width="44.7109375" customWidth="1" min="1" max="1"/>
    <col width="17.7109375" customWidth="1" min="2" max="2"/>
    <col width="22.7109375" customWidth="1" min="3" max="3"/>
    <col width="19.7109375" customWidth="1" min="4" max="4"/>
    <col width="58.7109375" customWidth="1" min="5" max="5"/>
  </cols>
  <sheetData>
    <row r="1" ht="30" customHeight="1">
      <c r="A1" s="2" t="inlineStr">
        <is>
          <t>ICHB Revision 7 Exposure Summary — ICHB-2291 threshold falling from 1.0% to 0.1% (illustrative sample data)</t>
        </is>
      </c>
    </row>
    <row r="2">
      <c r="A2" s="1" t="n"/>
      <c r="B2" s="1" t="n"/>
      <c r="C2" s="1" t="n"/>
      <c r="D2" s="1" t="n"/>
      <c r="E2" s="1" t="n"/>
    </row>
    <row r="3" ht="32.25" customHeight="1">
      <c r="A3" s="15" t="inlineStr">
        <is>
          <t>Measure</t>
        </is>
      </c>
      <c r="B3" s="15" t="inlineStr">
        <is>
          <t>Products</t>
        </is>
      </c>
      <c r="C3" s="15" t="inlineStr">
        <is>
          <t>Annual Revenue ($K)</t>
        </is>
      </c>
      <c r="D3" s="15" t="inlineStr">
        <is>
          <t>% of the 8 products</t>
        </is>
      </c>
      <c r="E3" s="15" t="inlineStr">
        <is>
          <t>How it is derived</t>
        </is>
      </c>
    </row>
    <row r="4">
      <c r="A4" s="1" t="inlineStr">
        <is>
          <t>Affected — above the new threshold</t>
        </is>
      </c>
      <c r="B4" s="6">
        <f>COUNTIF('Formulation Register'!L3:L10,"Affected")</f>
        <v/>
      </c>
      <c r="C4" s="8">
        <f>SUMIF('Formulation Register'!L3:L10,"Affected",'Formulation Register'!F3:F10)</f>
        <v/>
      </c>
      <c r="D4" s="20">
        <f>C4/$C$7</f>
        <v/>
      </c>
      <c r="E4" s="1" t="inlineStr">
        <is>
          <t>Products whose recorded ICHB-2291 content exceeds 0.1%</t>
        </is>
      </c>
    </row>
    <row r="5">
      <c r="A5" s="5" t="inlineStr">
        <is>
          <t>Not affected — below the new threshold</t>
        </is>
      </c>
      <c r="B5" s="7">
        <f>COUNTIF('Formulation Register'!L3:L10,"Not affected")</f>
        <v/>
      </c>
      <c r="C5" s="9">
        <f>SUMIF('Formulation Register'!L3:L10,"Not affected",'Formulation Register'!F3:F10)</f>
        <v/>
      </c>
      <c r="D5" s="21">
        <f>C5/$C$7</f>
        <v/>
      </c>
      <c r="E5" s="5" t="inlineStr">
        <is>
          <t>Products clearly below 0.1% on both the register and the data sheet</t>
        </is>
      </c>
    </row>
    <row r="6">
      <c r="A6" s="1" t="inlineStr">
        <is>
          <t>Cannot be determined</t>
        </is>
      </c>
      <c r="B6" s="6">
        <f>COUNTIF('Formulation Register'!L3:L10,"Cannot be determined")</f>
        <v/>
      </c>
      <c r="C6" s="8">
        <f>SUMIF('Formulation Register'!L3:L10,"Cannot be determined",'Formulation Register'!F3:F10)</f>
        <v/>
      </c>
      <c r="D6" s="20">
        <f>C6/$C$7</f>
        <v/>
      </c>
      <c r="E6" s="1" t="inlineStr">
        <is>
          <t>A stated range that straddles the threshold, or two sources that disagree</t>
        </is>
      </c>
    </row>
    <row r="7">
      <c r="A7" s="16" t="inlineStr">
        <is>
          <t>Total across the register</t>
        </is>
      </c>
      <c r="B7" s="17">
        <f>SUM(B4:B6)</f>
        <v/>
      </c>
      <c r="C7" s="19">
        <f>SUM(C4:C6)</f>
        <v/>
      </c>
      <c r="D7" s="22">
        <f>C7/$C$7</f>
        <v/>
      </c>
      <c r="E7" s="16" t="inlineStr">
        <is>
          <t>Sum of the three rows above</t>
        </is>
      </c>
    </row>
    <row r="8">
      <c r="A8" s="1" t="n"/>
      <c r="B8" s="1" t="n"/>
      <c r="C8" s="1" t="n"/>
      <c r="D8" s="1" t="n"/>
      <c r="E8" s="1" t="n"/>
    </row>
    <row r="9">
      <c r="A9" s="3" t="inlineStr">
        <is>
          <t>Reformulation exposure</t>
        </is>
      </c>
      <c r="B9" s="3" t="inlineStr">
        <is>
          <t>Value</t>
        </is>
      </c>
      <c r="C9" s="3" t="inlineStr">
        <is>
          <t>How it is derived</t>
        </is>
      </c>
      <c r="D9" s="1" t="n"/>
      <c r="E9" s="1" t="n"/>
    </row>
    <row r="10">
      <c r="A10" s="1" t="inlineStr">
        <is>
          <t>Total estimated reformulation cost</t>
        </is>
      </c>
      <c r="B10" s="8">
        <f>SUM('Formulation Register'!J3:J10)</f>
        <v/>
      </c>
      <c r="C10" s="1" t="inlineStr">
        <is>
          <t>Sum of the estimated cost column on the register</t>
        </is>
      </c>
      <c r="D10" s="1" t="n"/>
      <c r="E10" s="1" t="n"/>
    </row>
    <row r="11">
      <c r="A11" s="5" t="inlineStr">
        <is>
          <t>Revenue at risk (affected plus undetermined)</t>
        </is>
      </c>
      <c r="B11" s="9">
        <f>SUM('Formulation Register'!M3:M10)</f>
        <v/>
      </c>
      <c r="C11" s="5" t="inlineStr">
        <is>
          <t>Sum of the revenue at risk column on the register</t>
        </is>
      </c>
      <c r="D11" s="1" t="n"/>
      <c r="E11" s="1" t="n"/>
    </row>
    <row r="12">
      <c r="A12" s="1" t="inlineStr">
        <is>
          <t>Reformulation cost as a share of revenue at risk</t>
        </is>
      </c>
      <c r="B12" s="20">
        <f>B10/B11</f>
        <v/>
      </c>
      <c r="C12" s="1" t="inlineStr">
        <is>
          <t>Total cost divided by revenue at risk</t>
        </is>
      </c>
      <c r="D12" s="1" t="n"/>
      <c r="E12" s="1" t="n"/>
    </row>
    <row r="13">
      <c r="A13" s="5" t="inlineStr">
        <is>
          <t>Products requiring customer approval to reformulate</t>
        </is>
      </c>
      <c r="B13" s="7">
        <f>COUNTIF('Formulation Register'!K3:K10,"Yes")</f>
        <v/>
      </c>
      <c r="C13" s="5" t="inlineStr">
        <is>
          <t>Count of Yes in the customer approvals column</t>
        </is>
      </c>
      <c r="D13" s="1" t="n"/>
      <c r="E13" s="1" t="n"/>
    </row>
    <row r="14">
      <c r="A14" s="1" t="n"/>
      <c r="B14" s="1" t="n"/>
      <c r="C14" s="1" t="n"/>
      <c r="D14" s="1" t="n"/>
      <c r="E14" s="1" t="n"/>
    </row>
    <row r="15">
      <c r="A15" s="3" t="inlineStr">
        <is>
          <t>Reformulation feasibility</t>
        </is>
      </c>
      <c r="B15" s="3" t="inlineStr">
        <is>
          <t>Products</t>
        </is>
      </c>
      <c r="C15" s="3" t="inlineStr">
        <is>
          <t>Estimated cost ($K)</t>
        </is>
      </c>
      <c r="D15" s="1" t="n"/>
      <c r="E15" s="1" t="n"/>
    </row>
    <row r="16">
      <c r="A16" s="1" t="inlineStr">
        <is>
          <t>High</t>
        </is>
      </c>
      <c r="B16" s="6">
        <f>COUNTIF('Formulation Register'!I3:I10,"High")</f>
        <v/>
      </c>
      <c r="C16" s="12">
        <f>SUMIF('Formulation Register'!I3:I10,"High",'Formulation Register'!J3:J10)</f>
        <v/>
      </c>
      <c r="D16" s="1" t="n"/>
      <c r="E16" s="1" t="n"/>
    </row>
    <row r="17">
      <c r="A17" s="5" t="inlineStr">
        <is>
          <t>Medium</t>
        </is>
      </c>
      <c r="B17" s="7">
        <f>COUNTIF('Formulation Register'!I3:I10,"Medium")</f>
        <v/>
      </c>
      <c r="C17" s="13">
        <f>SUMIF('Formulation Register'!I3:I10,"Medium",'Formulation Register'!J3:J10)</f>
        <v/>
      </c>
      <c r="D17" s="1" t="n"/>
      <c r="E17" s="1" t="n"/>
    </row>
    <row r="18">
      <c r="A18" s="1" t="inlineStr">
        <is>
          <t>Low</t>
        </is>
      </c>
      <c r="B18" s="6">
        <f>COUNTIF('Formulation Register'!I3:I10,"Low")</f>
        <v/>
      </c>
      <c r="C18" s="12">
        <f>SUMIF('Formulation Register'!I3:I10,"Low",'Formulation Register'!J3:J10)</f>
        <v/>
      </c>
      <c r="D18" s="1" t="n"/>
      <c r="E18" s="1" t="n"/>
    </row>
    <row r="19">
      <c r="A19" s="5" t="inlineStr">
        <is>
          <t>Not required</t>
        </is>
      </c>
      <c r="B19" s="7">
        <f>COUNTIF('Formulation Register'!I3:I10,"Not required")</f>
        <v/>
      </c>
      <c r="C19" s="13">
        <f>SUMIF('Formulation Register'!I3:I10,"Not required",'Formulation Register'!J3:J10)</f>
        <v/>
      </c>
      <c r="D19" s="1" t="n"/>
      <c r="E19" s="1" t="n"/>
    </row>
  </sheetData>
  <mergeCells count="1">
    <mergeCell ref="A1:E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18"/>
  <sheetViews>
    <sheetView workbookViewId="0">
      <pane ySplit="6" topLeftCell="A7" activePane="bottomLeft" state="frozen"/>
      <selection pane="bottomLeft" activeCell="A1" sqref="A1"/>
    </sheetView>
  </sheetViews>
  <sheetFormatPr baseColWidth="8" defaultRowHeight="15"/>
  <cols>
    <col width="26.7109375" customWidth="1" min="1" max="1"/>
    <col width="19.7109375" customWidth="1" min="2" max="2"/>
    <col width="18.7109375" customWidth="1" min="3" max="3"/>
    <col width="22.7109375" customWidth="1" min="4" max="4"/>
    <col width="20.7109375" customWidth="1" min="5" max="5"/>
    <col width="15.7109375" customWidth="1" min="6" max="6"/>
  </cols>
  <sheetData>
    <row r="1" ht="27.75" customHeight="1">
      <c r="A1" s="2" t="inlineStr">
        <is>
          <t>Low-Volume Exemption Test — ICHB Revision 7, Clause 6.2 (illustrative sample data)</t>
        </is>
      </c>
    </row>
    <row r="2">
      <c r="A2" s="1" t="n"/>
      <c r="B2" s="1" t="n"/>
      <c r="C2" s="1" t="n"/>
      <c r="D2" s="1" t="n"/>
      <c r="E2" s="1" t="n"/>
      <c r="F2" s="1" t="n"/>
    </row>
    <row r="3">
      <c r="A3" s="3" t="inlineStr">
        <is>
          <t>Input assumption</t>
        </is>
      </c>
      <c r="B3" s="3" t="inlineStr">
        <is>
          <t>Value</t>
        </is>
      </c>
      <c r="C3" s="3" t="inlineStr">
        <is>
          <t>Unit and source</t>
        </is>
      </c>
      <c r="D3" s="1" t="n"/>
      <c r="E3" s="1" t="n"/>
      <c r="F3" s="1" t="n"/>
    </row>
    <row r="4">
      <c r="A4" s="1" t="inlineStr">
        <is>
          <t>Exemption volume ceiling</t>
        </is>
      </c>
      <c r="B4" s="23" t="n">
        <v>250000</v>
      </c>
      <c r="C4" s="1" t="inlineStr">
        <is>
          <t>kg per year · ICHB Revision 7, Clause 6.2. Change this cell to test a different ceiling.</t>
        </is>
      </c>
      <c r="D4" s="1" t="n"/>
      <c r="E4" s="1" t="n"/>
      <c r="F4" s="1" t="n"/>
    </row>
    <row r="5">
      <c r="A5" s="1" t="n"/>
      <c r="B5" s="1" t="n"/>
      <c r="C5" s="1" t="n"/>
      <c r="D5" s="1" t="n"/>
      <c r="E5" s="1" t="n"/>
      <c r="F5" s="1" t="n"/>
    </row>
    <row r="6" ht="33.75" customHeight="1">
      <c r="A6" s="4" t="inlineStr">
        <is>
          <t>Product</t>
        </is>
      </c>
      <c r="B6" s="4" t="inlineStr">
        <is>
          <t>Annual Volume (kg)</t>
        </is>
      </c>
      <c r="C6" s="4" t="inlineStr">
        <is>
          <t>Under the ceiling?</t>
        </is>
      </c>
      <c r="D6" s="4" t="inlineStr">
        <is>
          <t>ICHB-2291 Status</t>
        </is>
      </c>
      <c r="E6" s="4" t="inlineStr">
        <is>
          <t>Exemption relevant?</t>
        </is>
      </c>
      <c r="F6" s="4" t="inlineStr">
        <is>
          <t>Revenue ($K)</t>
        </is>
      </c>
    </row>
    <row r="7">
      <c r="A7" s="1">
        <f>'Formulation Register'!A3</f>
        <v/>
      </c>
      <c r="B7" s="6">
        <f>'Formulation Register'!E3</f>
        <v/>
      </c>
      <c r="C7" s="24">
        <f>IF(B7&lt;=$B$4,"Yes","No")</f>
        <v/>
      </c>
      <c r="D7" s="24">
        <f>'Formulation Register'!L3</f>
        <v/>
      </c>
      <c r="E7" s="24">
        <f>IF(AND(C7="Yes",D7&lt;&gt;"Not affected"),"Worth claiming","No")</f>
        <v/>
      </c>
      <c r="F7" s="8">
        <f>'Formulation Register'!F3</f>
        <v/>
      </c>
    </row>
    <row r="8">
      <c r="A8" s="5">
        <f>'Formulation Register'!A4</f>
        <v/>
      </c>
      <c r="B8" s="7">
        <f>'Formulation Register'!E4</f>
        <v/>
      </c>
      <c r="C8" s="25">
        <f>IF(B8&lt;=$B$4,"Yes","No")</f>
        <v/>
      </c>
      <c r="D8" s="25">
        <f>'Formulation Register'!L4</f>
        <v/>
      </c>
      <c r="E8" s="25">
        <f>IF(AND(C8="Yes",D8&lt;&gt;"Not affected"),"Worth claiming","No")</f>
        <v/>
      </c>
      <c r="F8" s="9">
        <f>'Formulation Register'!F4</f>
        <v/>
      </c>
    </row>
    <row r="9">
      <c r="A9" s="1">
        <f>'Formulation Register'!A5</f>
        <v/>
      </c>
      <c r="B9" s="6">
        <f>'Formulation Register'!E5</f>
        <v/>
      </c>
      <c r="C9" s="24">
        <f>IF(B9&lt;=$B$4,"Yes","No")</f>
        <v/>
      </c>
      <c r="D9" s="24">
        <f>'Formulation Register'!L5</f>
        <v/>
      </c>
      <c r="E9" s="24">
        <f>IF(AND(C9="Yes",D9&lt;&gt;"Not affected"),"Worth claiming","No")</f>
        <v/>
      </c>
      <c r="F9" s="8">
        <f>'Formulation Register'!F5</f>
        <v/>
      </c>
    </row>
    <row r="10">
      <c r="A10" s="5">
        <f>'Formulation Register'!A6</f>
        <v/>
      </c>
      <c r="B10" s="7">
        <f>'Formulation Register'!E6</f>
        <v/>
      </c>
      <c r="C10" s="25">
        <f>IF(B10&lt;=$B$4,"Yes","No")</f>
        <v/>
      </c>
      <c r="D10" s="25">
        <f>'Formulation Register'!L6</f>
        <v/>
      </c>
      <c r="E10" s="25">
        <f>IF(AND(C10="Yes",D10&lt;&gt;"Not affected"),"Worth claiming","No")</f>
        <v/>
      </c>
      <c r="F10" s="9">
        <f>'Formulation Register'!F6</f>
        <v/>
      </c>
    </row>
    <row r="11">
      <c r="A11" s="1">
        <f>'Formulation Register'!A7</f>
        <v/>
      </c>
      <c r="B11" s="6">
        <f>'Formulation Register'!E7</f>
        <v/>
      </c>
      <c r="C11" s="24">
        <f>IF(B11&lt;=$B$4,"Yes","No")</f>
        <v/>
      </c>
      <c r="D11" s="24">
        <f>'Formulation Register'!L7</f>
        <v/>
      </c>
      <c r="E11" s="24">
        <f>IF(AND(C11="Yes",D11&lt;&gt;"Not affected"),"Worth claiming","No")</f>
        <v/>
      </c>
      <c r="F11" s="8">
        <f>'Formulation Register'!F7</f>
        <v/>
      </c>
    </row>
    <row r="12">
      <c r="A12" s="5">
        <f>'Formulation Register'!A8</f>
        <v/>
      </c>
      <c r="B12" s="7">
        <f>'Formulation Register'!E8</f>
        <v/>
      </c>
      <c r="C12" s="25">
        <f>IF(B12&lt;=$B$4,"Yes","No")</f>
        <v/>
      </c>
      <c r="D12" s="25">
        <f>'Formulation Register'!L8</f>
        <v/>
      </c>
      <c r="E12" s="25">
        <f>IF(AND(C12="Yes",D12&lt;&gt;"Not affected"),"Worth claiming","No")</f>
        <v/>
      </c>
      <c r="F12" s="9">
        <f>'Formulation Register'!F8</f>
        <v/>
      </c>
    </row>
    <row r="13">
      <c r="A13" s="1">
        <f>'Formulation Register'!A9</f>
        <v/>
      </c>
      <c r="B13" s="6">
        <f>'Formulation Register'!E9</f>
        <v/>
      </c>
      <c r="C13" s="24">
        <f>IF(B13&lt;=$B$4,"Yes","No")</f>
        <v/>
      </c>
      <c r="D13" s="24">
        <f>'Formulation Register'!L9</f>
        <v/>
      </c>
      <c r="E13" s="24">
        <f>IF(AND(C13="Yes",D13&lt;&gt;"Not affected"),"Worth claiming","No")</f>
        <v/>
      </c>
      <c r="F13" s="8">
        <f>'Formulation Register'!F9</f>
        <v/>
      </c>
    </row>
    <row r="14">
      <c r="A14" s="5">
        <f>'Formulation Register'!A10</f>
        <v/>
      </c>
      <c r="B14" s="7">
        <f>'Formulation Register'!E10</f>
        <v/>
      </c>
      <c r="C14" s="25">
        <f>IF(B14&lt;=$B$4,"Yes","No")</f>
        <v/>
      </c>
      <c r="D14" s="25">
        <f>'Formulation Register'!L10</f>
        <v/>
      </c>
      <c r="E14" s="25">
        <f>IF(AND(C14="Yes",D14&lt;&gt;"Not affected"),"Worth claiming","No")</f>
        <v/>
      </c>
      <c r="F14" s="9">
        <f>'Formulation Register'!F10</f>
        <v/>
      </c>
    </row>
    <row r="15">
      <c r="A15" s="1" t="n"/>
      <c r="B15" s="1" t="n"/>
      <c r="C15" s="1" t="n"/>
      <c r="D15" s="1" t="n"/>
      <c r="E15" s="1" t="n"/>
      <c r="F15" s="1" t="n"/>
    </row>
    <row r="16">
      <c r="A16" s="39" t="inlineStr">
        <is>
          <t>Revenue that could be protected by a low-volume exemption</t>
        </is>
      </c>
      <c r="F16" s="39">
        <f>SUMIF(E7:E14,"Worth claiming",F7:F14)</f>
        <v/>
      </c>
    </row>
    <row r="17">
      <c r="A17" s="1" t="n"/>
      <c r="B17" s="1" t="n"/>
      <c r="C17" s="1" t="n"/>
      <c r="D17" s="1" t="n"/>
      <c r="E17" s="1" t="n"/>
      <c r="F17" s="1" t="n"/>
    </row>
    <row r="18" ht="44.25" customHeight="1">
      <c r="A18" s="26" t="inlineStr">
        <is>
          <t>An exemption is only worth claiming where the product is affected or undetermined AND sits under the ceiling. Clause 6.3 requires a volume declaration, a technical justification and a substitution assessment for every claim.</t>
        </is>
      </c>
    </row>
  </sheetData>
  <mergeCells count="3">
    <mergeCell ref="A16:E16"/>
    <mergeCell ref="A1:F1"/>
    <mergeCell ref="A18:F18"/>
  </mergeCells>
  <conditionalFormatting sqref="E7:E14">
    <cfRule type="containsText" priority="1" operator="containsText" dxfId="0" text="Worth claiming">
      <formula>NOT(ISERROR(SEARCH("Worth claiming",E7)))</formula>
    </cfRule>
  </conditionalFormatting>
  <pageMargins left="0.7" right="0.7" top="0.75" bottom="0.75" header="0.3" footer="0.3"/>
</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2026-09-14T18:47:16Z</dcterms:created>
  <dcterms:modified xmlns:dcterms="http://purl.org/dc/terms/" xmlns:xsi="http://www.w3.org/2001/XMLSchema-instance" xsi:type="dcterms:W3CDTF">2026-09-21T18:35:16Z</dcterms:modified>
  <cp:lastModifiedBy>i:0#.f|membership|bycast@microsoft.com</cp:lastModifiedBy>
</cp:coreProperties>
</file>